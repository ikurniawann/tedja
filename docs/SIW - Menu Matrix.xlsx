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Menu" sheetId="1" r:id="rId5"/>
    <sheet state="visible" name="Yakitori Stall" sheetId="2" r:id="rId6"/>
    <sheet state="visible" name="Teppanyaki Stall " sheetId="3" r:id="rId7"/>
    <sheet state="visible" name="Dumpling Stall" sheetId="4" r:id="rId8"/>
    <sheet state="visible" name="Sushi - Sashimi Stall" sheetId="5" r:id="rId9"/>
    <sheet state="visible" name="Bakery Stall" sheetId="6" r:id="rId10"/>
    <sheet state="visible" name="Burger - sandwiches Stall" sheetId="7" r:id="rId11"/>
    <sheet state="visible" name="Agemono - Frying Section Stall" sheetId="8" r:id="rId12"/>
    <sheet state="visible" name="Rice bowl Stall" sheetId="9" r:id="rId13"/>
    <sheet state="visible" name="Ramen - Noodles Stall" sheetId="10" r:id="rId14"/>
    <sheet state="visible" name="Udon - Noodles Stall" sheetId="11" r:id="rId15"/>
    <sheet state="visible" name="Japanese Poridge Stall" sheetId="12" r:id="rId16"/>
    <sheet state="visible" name="Yakimono - Griiled Stall" sheetId="13" r:id="rId17"/>
    <sheet state="visible" name="Onigiri Corner Stall" sheetId="14" r:id="rId18"/>
    <sheet state="visible" name="Market List" sheetId="15" r:id="rId19"/>
    <sheet state="visible" name="WIP FOOD" sheetId="16" r:id="rId20"/>
    <sheet state="visible" name="Yokoco Beverage Stall" sheetId="17" r:id="rId21"/>
    <sheet state="visible" name="Sando Stall" sheetId="18" r:id="rId22"/>
  </sheets>
  <definedNames/>
  <calcPr/>
</workbook>
</file>

<file path=xl/sharedStrings.xml><?xml version="1.0" encoding="utf-8"?>
<sst xmlns="http://schemas.openxmlformats.org/spreadsheetml/2006/main" count="4501" uniqueCount="740">
  <si>
    <t>Summary Menu</t>
  </si>
  <si>
    <t>Dumpling Stall</t>
  </si>
  <si>
    <t>Yakitori Stall</t>
  </si>
  <si>
    <t>Teppanyaki Stall</t>
  </si>
  <si>
    <t>Okonomiyaki Gyoza</t>
  </si>
  <si>
    <t>Negima</t>
  </si>
  <si>
    <t>Takoyaki</t>
  </si>
  <si>
    <t>Menu</t>
  </si>
  <si>
    <t>Element</t>
  </si>
  <si>
    <t>COGS</t>
  </si>
  <si>
    <t>UOM</t>
  </si>
  <si>
    <t>Selling Price</t>
  </si>
  <si>
    <t>Element Cost/(g)</t>
  </si>
  <si>
    <t>Portion Used</t>
  </si>
  <si>
    <t>Status</t>
  </si>
  <si>
    <t>Description</t>
  </si>
  <si>
    <t>Value /pcs</t>
  </si>
  <si>
    <t>Major Step</t>
  </si>
  <si>
    <t>Units</t>
  </si>
  <si>
    <t>Adonan Gyoza WIP</t>
  </si>
  <si>
    <t>Adonan Takoyaki WIP</t>
  </si>
  <si>
    <t>Ayam Paha Fillet</t>
  </si>
  <si>
    <t>PCS</t>
  </si>
  <si>
    <t>Pcs</t>
  </si>
  <si>
    <t>GR</t>
  </si>
  <si>
    <t>Panaskan Teplon dan tuangkan minyak goreng, masukan gyoza dengan lipatan diatas, gunakan api kecil terlebih dahulu dan tutup dengan teplon 1 nya guna uap panas biar merata</t>
  </si>
  <si>
    <t>Recipe detail belum ditemukan pada ITEM SALES RECIPE / PDF yang tersedia.</t>
  </si>
  <si>
    <t>Prep: Potong 3 @28 gr/pcs. pastikan ayam paha fillet , kulit ayam, batang daun bawang pun sudah terpotong sesuai ukuran</t>
  </si>
  <si>
    <t>Udang Vaname</t>
  </si>
  <si>
    <t>Gyoza Tuile WIP</t>
  </si>
  <si>
    <t>Kulit Ayam</t>
  </si>
  <si>
    <t>Gr</t>
  </si>
  <si>
    <t>setelah kurang lebih 3 menit, berikan air secukupnya gunakan teknik masak kukus agar gyoza matang merata dan tutup kembali, dan gunakan api sedang.</t>
  </si>
  <si>
    <t>Recipe Available</t>
  </si>
  <si>
    <t>Prep: Potong 3 @5 gr/pcs; gunakan untuk menutupi setiap ayam. langkah awal,tusuk batang daun bawang setelah itu tusuk kulit ayam 1 sisi dulu, tusuk ayam paha fillet secara melengkung setelah itu lapisi dengan tusuk kulit ayam disisi ujungnya.</t>
  </si>
  <si>
    <t>Okonomiyaki Sauce WIP</t>
  </si>
  <si>
    <t>Daun Bawang</t>
  </si>
  <si>
    <t>Chicken thigh with leek and soy tare</t>
  </si>
  <si>
    <t>Cumi</t>
  </si>
  <si>
    <t>setelah dirasa cukup dari segi warna sedikit char dari bagian bawah gyoza, angkat dan tata diatas plate, tempatkan tuille di bagian atas gyoza hingga menutupi seluruh gyozanya</t>
  </si>
  <si>
    <t>Tsukune</t>
  </si>
  <si>
    <t>Mayonaise</t>
  </si>
  <si>
    <t>Prep: Gunakan batang; potong ukuran 2 ruas jari (3 pcs). lakukan secara terus menerus dengan rasio batang daun bawang, ayam+ayam+batang daun bawang+terakhir ayam lagi.</t>
  </si>
  <si>
    <t>Yakitori Butter WIP</t>
  </si>
  <si>
    <t>Aonori</t>
  </si>
  <si>
    <t>gr</t>
  </si>
  <si>
    <t>pastikan arang sudah siap dengan suhu tinggi, tempatkan tusukan negima tepat diatas arang, oleskan yakitori butter di kedua sisi negima, focus dan teliti ketika bakar</t>
  </si>
  <si>
    <t>Tusuk Sate Yakitori 18cm</t>
  </si>
  <si>
    <t>chicken meat ball served with soy tare</t>
  </si>
  <si>
    <t>berikan sauce okonomiyaki pada bagian tuille nya setelah itu mayonaise, berikan katsuobushi dan taburan aonori.</t>
  </si>
  <si>
    <t>Katsuobushi</t>
  </si>
  <si>
    <t>dapatkan teksture negima warna dengan golden brown dan sedikit char gosong, untuk olesan yakitori butter nya bisa dilakukan 3-4 kali olesan sekali bakar.</t>
  </si>
  <si>
    <t>Torikawa</t>
  </si>
  <si>
    <t>Furikake WIP</t>
  </si>
  <si>
    <t>Onion Pickles</t>
  </si>
  <si>
    <t>Tanuki</t>
  </si>
  <si>
    <t>Crispy Chicken skin with salt</t>
  </si>
  <si>
    <t>Minyak Goreng</t>
  </si>
  <si>
    <t>Cucumber Pickles WIP</t>
  </si>
  <si>
    <t>ML</t>
  </si>
  <si>
    <t>Tebasaki</t>
  </si>
  <si>
    <t>Chicken wings</t>
  </si>
  <si>
    <t>Boxes, packaging, etc.</t>
  </si>
  <si>
    <t>Beef Enoki Roll</t>
  </si>
  <si>
    <t>Direct Cost</t>
  </si>
  <si>
    <t>Enoki mushroom wrapped with USDA shortplate beef</t>
  </si>
  <si>
    <t>Source: SULU-bdg FoodTesting.xlsx - ITEM SALES RECIPE</t>
  </si>
  <si>
    <t>Indirect Cost</t>
  </si>
  <si>
    <t>Beef Mochi</t>
  </si>
  <si>
    <t>Status: Recipe Available</t>
  </si>
  <si>
    <t>Cost of Goods Sold (COGS)</t>
  </si>
  <si>
    <t>Margin</t>
  </si>
  <si>
    <t>Chewy mochi wrapped with USDA shortplate beef</t>
  </si>
  <si>
    <t>Div COGS</t>
  </si>
  <si>
    <t>Source: -</t>
  </si>
  <si>
    <t>Slider Gyoza Mentai</t>
  </si>
  <si>
    <t>Status: Recipe Pending</t>
  </si>
  <si>
    <t>Minched Beef WIP</t>
  </si>
  <si>
    <t>Goreng Gyoza dengan temprature normal 150-170 derajat, pastikan selesai dengan warna golden brown.</t>
  </si>
  <si>
    <t>Mentaiko Mayo WIP</t>
  </si>
  <si>
    <t>setelah dapat dipastikan matang, tata di piring dengan memanjang rapi, berikan sauce mentaiko terlebih dahulu, taburi furikake dan terakhir berikan garnish ditata memanjang</t>
  </si>
  <si>
    <t>Siapkan Adonan Tsukune, Tusuk menggunakan tusukan yakitori 2 pcs dengan cara tusukan satenya dibuat menyamping kedalam masing masing, kepal kepal tsukune pada tusukan</t>
  </si>
  <si>
    <t>Recipe Pending</t>
  </si>
  <si>
    <t>Classic takoyaki with condiment</t>
  </si>
  <si>
    <t>mengikuti persentasi gyoza nya. terakhir tempatkan lime sichimi nya di bagian atas gyoza</t>
  </si>
  <si>
    <t>Garnish daun bawang dan paprika</t>
  </si>
  <si>
    <t>tempatkan pada tumpuan hibachi,oleskan yakitori butter di kedua sisi,fokus dan teliti ketika bakar hingga golden brown dan sedikit char gosong,</t>
  </si>
  <si>
    <t>Yasai Itame</t>
  </si>
  <si>
    <t>Lime Sichimi</t>
  </si>
  <si>
    <t>untuk olesan yakitori butter nya bisa dilakukan 3-4 kali olesan sekali bakar, dengan bulak balik tsukune</t>
  </si>
  <si>
    <t>Stir-fry mix vegetables with usda beef topping with katsuobushi</t>
  </si>
  <si>
    <t>Ika Sugatayaki</t>
  </si>
  <si>
    <t>Kol</t>
  </si>
  <si>
    <t>grilled fresh squid served with shoyu tare</t>
  </si>
  <si>
    <t>Ika Okonomiyaki</t>
  </si>
  <si>
    <t>Osaka style okonomiyaki served with grilled squid</t>
  </si>
  <si>
    <t>Wortel</t>
  </si>
  <si>
    <t>Beef Okonomiyaki</t>
  </si>
  <si>
    <t>Spicy Tteokboki Gyoza</t>
  </si>
  <si>
    <t>paprika merah</t>
  </si>
  <si>
    <t>Osaka style okonomiyaki served with grilled beef</t>
  </si>
  <si>
    <t>paprica hijau</t>
  </si>
  <si>
    <t>Tteokbokki Sauce WIP</t>
  </si>
  <si>
    <t>Bawang Bombay</t>
  </si>
  <si>
    <t>Panaskan Sauce tteokbokki hingga mendidih dan panas merata, tuang pada bagian plate, angkat gyoza yang sudah dirasa cukup matang, dan tata pada bagian atas tteokbokki saucenya</t>
  </si>
  <si>
    <t>Beef Shortplate Slice</t>
  </si>
  <si>
    <t>taburi furikake dan daun bawang, tempatkan lime sichimi pada bagian atas untuk final persentasi</t>
  </si>
  <si>
    <t>Potong kecil kecil kulit ayam yang sudah direbus,lalu tusukan pada tusuk sate satu persatu hingga ke ujung rapat dan lebar.pastikan arang sudah siap dengan suhu tinggi,tempatkan</t>
  </si>
  <si>
    <t>seared japanese dumpling,crispy tuille,okonomiyaki sauce and katsuobushi</t>
  </si>
  <si>
    <t>tusukan torikawa diatas arang,oleskan yakitori butter di kedua sisi torikawa,fokus dan teliti ketika bakar dapatkan tekstur torikawa dengan golden brown dan sedikit char gosong,</t>
  </si>
  <si>
    <t>untuk olesan yakitori butter nya bisa dilakukan 3-4 kali olesan sekali bakar.</t>
  </si>
  <si>
    <t>Deep fried japanese dumpling served creamy mentaiko sauce</t>
  </si>
  <si>
    <t>steam gyoza served with spicy and creamy miso tteokboki</t>
  </si>
  <si>
    <t>Yaki Gyoza</t>
  </si>
  <si>
    <t>Pan seared Japanese chicken dumpling</t>
  </si>
  <si>
    <t>Age Gyoza</t>
  </si>
  <si>
    <t>Deep fried japanese chicken dumpling</t>
  </si>
  <si>
    <t>Sayap Ayam utuh</t>
  </si>
  <si>
    <t>Potong sayap menjadi 2, yang bagian ujung sayap tidak dipakai  ,lalu bagian sayap di fillet butterfly posisi tulang terlihat, tusukan bambu di bagian atas tulang secara rapih</t>
  </si>
  <si>
    <t>Sushi - Sashimi Stall</t>
  </si>
  <si>
    <t>Tamagoyaki Mentai</t>
  </si>
  <si>
    <t>Sweet Japanese omelette egg served with creamy mentai mayo</t>
  </si>
  <si>
    <t>Adonan Okonomiyaki WIP</t>
  </si>
  <si>
    <t>Tuna Wasabi Mayo Taco</t>
  </si>
  <si>
    <t>cube fresh tuna mixwd with creamy wasabi mayo and wrapped with crispy nori</t>
  </si>
  <si>
    <t>Unagi Nigiri</t>
  </si>
  <si>
    <t>Sushi rice on top grilled uangi</t>
  </si>
  <si>
    <t>Beef Shorplate</t>
  </si>
  <si>
    <t>Chuka Idako Gunkan</t>
  </si>
  <si>
    <t>Lebarkan beef pada talenan, tempatkan enoki pada bagian bawang terlebih dahulu, gulung dengan cara dipadatkan setiap gulungan, lakukan hingga selesai</t>
  </si>
  <si>
    <t>Enoki Mushroom</t>
  </si>
  <si>
    <t>Seasoned baby octopus sushi</t>
  </si>
  <si>
    <t>Potong menjadi 2 bagian, lalu tusuk menggunakan tusukan yakitpri perlahan, pastikan jamur enoki tidak hancur didalam dan merekat dengan baik</t>
  </si>
  <si>
    <t>Chuka Idako Tsumami</t>
  </si>
  <si>
    <t>tempatkan pada hibachi yang sudah siap dengan arangnya, lalu oleskan yakitori butter dengan berulang kali, dan pastikan kematangan beef cukup medium, yang dimana</t>
  </si>
  <si>
    <t>Seasoned baby octopus salad</t>
  </si>
  <si>
    <t>beef tidak terlalu coklat tua, cukup dipastikan tidak ada bagian merah atau pink di bagian daging</t>
  </si>
  <si>
    <t>Unagi Sushi Roll</t>
  </si>
  <si>
    <t>Togarashi</t>
  </si>
  <si>
    <t>Sushi roll with avocado,cucumber and crispy on top with grilled unagi</t>
  </si>
  <si>
    <t>Crispy Salmon Roll</t>
  </si>
  <si>
    <t>Sushi roll inside crabstick,avocado and crispy on top aburi salmon</t>
  </si>
  <si>
    <t>Salmon Cured Yuzu</t>
  </si>
  <si>
    <t>Salmon Cured served with yuzu dressing</t>
  </si>
  <si>
    <t>Tuna Cured Yuzu</t>
  </si>
  <si>
    <t>Tuna cured served with yuzu dressing</t>
  </si>
  <si>
    <t>Lebarkan beef pada talenan, Potong Mochi menjadi 3 bagian dan tempatkan mochi pada bagian bawah terlebih dahulu, gulung dengan cara dipadatkan setiap gulungan,</t>
  </si>
  <si>
    <t>Mochi Block</t>
  </si>
  <si>
    <t>PACK</t>
  </si>
  <si>
    <t>Maguro Maki</t>
  </si>
  <si>
    <t>pastikan mochi tidak hancur didalam dan merekat dengan baik</t>
  </si>
  <si>
    <t>small roll sushi with tuna</t>
  </si>
  <si>
    <t>Salmon Maki</t>
  </si>
  <si>
    <t>small roll sushi with salmon</t>
  </si>
  <si>
    <t>Salmon Philadelpia</t>
  </si>
  <si>
    <t>sushi roll wrapped with salmon and inside cream cheese and cucumber</t>
  </si>
  <si>
    <t>Crispy Temaki Sushi</t>
  </si>
  <si>
    <t>crispy corn sushi with spicy tuna mayo and cucumber</t>
  </si>
  <si>
    <t>California Roll</t>
  </si>
  <si>
    <t>Beef marinasi yakiniku</t>
  </si>
  <si>
    <t>avocado,cucumber,crab stick and tobiko served with creamy mayonaise</t>
  </si>
  <si>
    <t>Bakery Stall</t>
  </si>
  <si>
    <t>Doughnut Matcha</t>
  </si>
  <si>
    <t>Assembly Qty Pending</t>
  </si>
  <si>
    <t>glazed with matcha cream and garnish</t>
  </si>
  <si>
    <t>Doughnut Hojicha</t>
  </si>
  <si>
    <t>Shuffle Pancake Mochi Chocolate</t>
  </si>
  <si>
    <t>Mochi blanket with chocolate sauce</t>
  </si>
  <si>
    <t>Shuffle Pancake Mochi Matcha</t>
  </si>
  <si>
    <t>Mochi blanket with matcha sauce</t>
  </si>
  <si>
    <t>Shuffle Pancake Mochi Hojicha</t>
  </si>
  <si>
    <t>Mochi blanket with hojicha sauce</t>
  </si>
  <si>
    <t>Shuffle Pancake Mochi Vanilla</t>
  </si>
  <si>
    <t>Mochi blanket with vanilla sauce</t>
  </si>
  <si>
    <t>Bomboloni Mochi Chocolate</t>
  </si>
  <si>
    <t>Bomboloni mochi with Chocolate Filling WIP</t>
  </si>
  <si>
    <t>Bomboloni Mochi Matcha</t>
  </si>
  <si>
    <t>Bomboloni mochi with Matcha Filling WIP</t>
  </si>
  <si>
    <t>Bomboloni Mochi Hojicha</t>
  </si>
  <si>
    <t>Bomboloni mochi with Hojicha Filling WIP</t>
  </si>
  <si>
    <t>Adonan Tamagoyaki WIP</t>
  </si>
  <si>
    <t>Bomboloni Mochi Strawberry</t>
  </si>
  <si>
    <t>Bomboloni mochi with Strawberry Jam WIP</t>
  </si>
  <si>
    <t>Shio Pan OG</t>
  </si>
  <si>
    <t>Tobiko Orange</t>
  </si>
  <si>
    <t>Plan and original salt bread</t>
  </si>
  <si>
    <t>Shio Pan Cheese Furikake</t>
  </si>
  <si>
    <t>Topping with cheese furikake</t>
  </si>
  <si>
    <t>Egg Tartar Shio Pan</t>
  </si>
  <si>
    <t>Burger - sandwiches Stall</t>
  </si>
  <si>
    <t>Donat / Bomboloni WIP</t>
  </si>
  <si>
    <t>Gyuniku Burger</t>
  </si>
  <si>
    <t>Topping with creamy savory egg tartar</t>
  </si>
  <si>
    <t>Brioche Burger Bun WIP</t>
  </si>
  <si>
    <t>Matcha Filling WIP</t>
  </si>
  <si>
    <t>BEEF NOODLE</t>
  </si>
  <si>
    <t>Tuna Saku</t>
  </si>
  <si>
    <t>Nori Sheets</t>
  </si>
  <si>
    <t>SHEET</t>
  </si>
  <si>
    <t>Source: Uploaded Bakery Recipe PDFs</t>
  </si>
  <si>
    <t>tobiko hitam</t>
  </si>
  <si>
    <t>Status: Assembly Qty Pending</t>
  </si>
  <si>
    <t>Beef sukiyaki, pickles, garlic tartar and lettuce</t>
  </si>
  <si>
    <t>adonan tempura</t>
  </si>
  <si>
    <t>Chicken Namban Burger</t>
  </si>
  <si>
    <t>classic burger with juice chicken namban and creamy tartar</t>
  </si>
  <si>
    <t>Tempura Kimchi Hotdog</t>
  </si>
  <si>
    <t>Hojicha Filling WIP</t>
  </si>
  <si>
    <t>Crispy tempura and spicy refreshing from kimchi on soft bread</t>
  </si>
  <si>
    <t>Large Sausage Hotdog</t>
  </si>
  <si>
    <t xml:space="preserve">UNAGI </t>
  </si>
  <si>
    <t>Nasi Sushi WIP</t>
  </si>
  <si>
    <t>Soy Chicken WIP</t>
  </si>
  <si>
    <t>NORI IKETAN</t>
  </si>
  <si>
    <t>Smoked chicken sausage with and mentai mayo</t>
  </si>
  <si>
    <t>Namban Sauce WIP</t>
  </si>
  <si>
    <t>Egg Tartar WIP</t>
  </si>
  <si>
    <t>Smoked beef sausage with and mentai mayo</t>
  </si>
  <si>
    <t>Souffle Pancake WIP</t>
  </si>
  <si>
    <t>PORTION</t>
  </si>
  <si>
    <t>Yakiniku Hotdog</t>
  </si>
  <si>
    <t>Mochi Plain WIP</t>
  </si>
  <si>
    <t>Sweet and umami USDA beef, pickles and condiment</t>
  </si>
  <si>
    <t>Chocolate Sauce WIP</t>
  </si>
  <si>
    <t>Ebi Shinjo Toasted</t>
  </si>
  <si>
    <t>Fried Shrimp cake sandwich with sesame and egg tartar mayo</t>
  </si>
  <si>
    <t>Udang Tempura</t>
  </si>
  <si>
    <t>Agemono - Frying Section Stall</t>
  </si>
  <si>
    <t>Kol Kimchi WIP</t>
  </si>
  <si>
    <t>Chicken Namban</t>
  </si>
  <si>
    <t>Matcha Sauce WIP</t>
  </si>
  <si>
    <t>Brioche Hot Dog  WIP</t>
  </si>
  <si>
    <t>Kyuri/japanese cucumber</t>
  </si>
  <si>
    <t>Japanese fried chicken coating soy vinegar and egg tartar</t>
  </si>
  <si>
    <t>Cheese Cheddar</t>
  </si>
  <si>
    <t>Signature Torikaraage</t>
  </si>
  <si>
    <t>KOREANDER</t>
  </si>
  <si>
    <t>Japanese fried chicken served with cheese sauce or BBQ sauce</t>
  </si>
  <si>
    <t>Cheese Minched Katsu</t>
  </si>
  <si>
    <t>Umami and cheesy minched beef katsu served with signature sauce</t>
  </si>
  <si>
    <t>Ebi Furai Signature</t>
  </si>
  <si>
    <t>Hojicha Sauce WIP</t>
  </si>
  <si>
    <t>SLICE UNAGI</t>
  </si>
  <si>
    <t>Coating prawn with bread crumb served with cheese sauce</t>
  </si>
  <si>
    <t>CREAM CHEESE</t>
  </si>
  <si>
    <t>Tomorokoshi Ribs</t>
  </si>
  <si>
    <t>Tare Sauce WIP</t>
  </si>
  <si>
    <t>BEEF SAUSAGE</t>
  </si>
  <si>
    <t>triple cook corn ribs mixed with signature spice</t>
  </si>
  <si>
    <t>SFC Signature</t>
  </si>
  <si>
    <t>Prologue fried chicken</t>
  </si>
  <si>
    <t>Crispy Wings</t>
  </si>
  <si>
    <t>Vanilla Sauce WIP</t>
  </si>
  <si>
    <t>Fried Chicken wings coating with special sauce</t>
  </si>
  <si>
    <t>Tendon Club</t>
  </si>
  <si>
    <t>Rice bowl tempura coating with tendon sauce</t>
  </si>
  <si>
    <t>Rice bowl Stall</t>
  </si>
  <si>
    <t>Gyutan Donburi</t>
  </si>
  <si>
    <t>Chocolate Filling WIP</t>
  </si>
  <si>
    <t>Ricebowl with grilled beef tongue</t>
  </si>
  <si>
    <t>Beef Yakiniku Bowl</t>
  </si>
  <si>
    <t>Rice bowl USDA beef with yakiniku sauce</t>
  </si>
  <si>
    <t>Smoked Duck Donburi</t>
  </si>
  <si>
    <t>Smocked duck rice bowl served with black sauce and condiment</t>
  </si>
  <si>
    <t>Ramen - Noodles Stall</t>
  </si>
  <si>
    <t>Wijen Putih</t>
  </si>
  <si>
    <t>Aka Miso Ramen</t>
  </si>
  <si>
    <t>served with kind of condiment, chicken and smoked duck, spicy miso broth</t>
  </si>
  <si>
    <t>Spicy Goma Ramen</t>
  </si>
  <si>
    <t>chicken broth with sesame, smoked duck, pokcoy and katsuobushi chili oil</t>
  </si>
  <si>
    <t>Signature Shoyu Ramen</t>
  </si>
  <si>
    <t>served with shio tare,beef and vegetables</t>
  </si>
  <si>
    <t>Beef Abura Soba</t>
  </si>
  <si>
    <t>Dry ramen,Smoked Beef, kimchi, soy butter and truffle oil</t>
  </si>
  <si>
    <t>Smoked Duck Abura Soba</t>
  </si>
  <si>
    <t>Brioche Sandwich Toast  WIP</t>
  </si>
  <si>
    <t>SLICE</t>
  </si>
  <si>
    <t>Dry ramen,Smocked Duck, kimchi, soy butter and truffle oil</t>
  </si>
  <si>
    <t>Ebi Shinjo WIP</t>
  </si>
  <si>
    <t>Tori Abura Soba</t>
  </si>
  <si>
    <t>Dry ramen,Chicken Karaage, kimchi, soy butter and truffle oil</t>
  </si>
  <si>
    <t>Udon - Noodles Stall</t>
  </si>
  <si>
    <t>Udon Carbonara</t>
  </si>
  <si>
    <t>Creamy and chewy udon noodles served with smoked beef, cheese and eggyolk</t>
  </si>
  <si>
    <t>Gyutan Udon</t>
  </si>
  <si>
    <t>Dashi broth,Beef Tongue, and seaweed</t>
  </si>
  <si>
    <t>Beefu Udon</t>
  </si>
  <si>
    <t>SLICE SALMON</t>
  </si>
  <si>
    <t>Dashi broth, shortplate beef, and seaweed</t>
  </si>
  <si>
    <t>Japanese Poridge Stall</t>
  </si>
  <si>
    <t>TRIMING SALMON</t>
  </si>
  <si>
    <t>Okayu Beef</t>
  </si>
  <si>
    <t>Strawberry Jam WIP</t>
  </si>
  <si>
    <t>Japanese Umami Poridge served with beef and condiment</t>
  </si>
  <si>
    <t>Smoked Duck Okayu</t>
  </si>
  <si>
    <t>Japanese Umami Poridge served with Smocked duck and condiment</t>
  </si>
  <si>
    <t>Tori Okayu</t>
  </si>
  <si>
    <t>Japanese Umami Poridge served with Chicken and condiment</t>
  </si>
  <si>
    <t>Yakimono - Griiled Stall</t>
  </si>
  <si>
    <t>Beefu Hikiniku</t>
  </si>
  <si>
    <t>Wagyu Beef patty served with furikake rice and miso soup</t>
  </si>
  <si>
    <t>TANUKI</t>
  </si>
  <si>
    <t>Salmon Don</t>
  </si>
  <si>
    <t>grilled Salmon with teriyaki sauce served with rice and miso soup</t>
  </si>
  <si>
    <t>Unagimeshi</t>
  </si>
  <si>
    <t>Salt Bread WIP</t>
  </si>
  <si>
    <t>grill eel with soy tare sauce served with japanese fried riceand miso soup</t>
  </si>
  <si>
    <t>Salted Butter</t>
  </si>
  <si>
    <t>Gyudon</t>
  </si>
  <si>
    <t>Grilled Beef with umami rice and onsen egg</t>
  </si>
  <si>
    <t>Onigiri Corner Stall</t>
  </si>
  <si>
    <t>AVOKADO</t>
  </si>
  <si>
    <t>CRAB STEAK</t>
  </si>
  <si>
    <t>Onigiri Spicy Tuna</t>
  </si>
  <si>
    <t>TOBIKO ORANGE</t>
  </si>
  <si>
    <t>Japanese riceball,seaweed and tuna spicy - pickles</t>
  </si>
  <si>
    <t>Cakalang Onigiri</t>
  </si>
  <si>
    <t>Japanese riceball,seaweed and smoked mackarel fish - pickles</t>
  </si>
  <si>
    <t>Salmon Mayo Onigiri</t>
  </si>
  <si>
    <t>Japanese riceball,seaweed and fresh salmon mayo and tobiko - pickles</t>
  </si>
  <si>
    <t>Cheese Sauce WIP</t>
  </si>
  <si>
    <t>Onigiri Yakiniku</t>
  </si>
  <si>
    <t>Pastikan minyak deepfrying panas dengan temp 170 derajat celcius</t>
  </si>
  <si>
    <t>Japanese riceball,seaweed and beef yakiniku - pickles</t>
  </si>
  <si>
    <t>Yokoco Beverage Stall</t>
  </si>
  <si>
    <t>siap kan tepung tapioka, masukan 3 potong ayam kedalam tapioka dan baluri secara menyeluruh dan tercover dengan cukup</t>
  </si>
  <si>
    <t>masukan ayam yang sudah terbaluri tapioka, goreng selama kurang lebih 2 menit, lalu angkat ayam dan resting kurang lebih 1 menit</t>
  </si>
  <si>
    <t>PINCHED</t>
  </si>
  <si>
    <t>setelah ayam resting, goreng kembali ayam kurang lebih selama 1,5 menit. setelah selesai langsung baluri ayam dengan sauce namban</t>
  </si>
  <si>
    <t>Daun Bawang slice</t>
  </si>
  <si>
    <t>plating 3 ayam tadi yang sudah di goreng dan terbaluti namban sauce, berikan eggtartar mayo dibagian atas ayamnya,berikan</t>
  </si>
  <si>
    <t>Tepung Tapioka</t>
  </si>
  <si>
    <t>taburan furikake dan daun bawang diatas eggtartar.</t>
  </si>
  <si>
    <t>Sando Stall</t>
  </si>
  <si>
    <t>Beef Katsu Sando</t>
  </si>
  <si>
    <t>USDA beef coating with breadcrumb and okonomiyaki sauce</t>
  </si>
  <si>
    <t>AVG Product Cost</t>
  </si>
  <si>
    <t>Tapioka charcoal</t>
  </si>
  <si>
    <t>siap kan tepung tapioka charcoal, masukan 3 potong ayam kedalam tapioka dan baluri secara menyeluruh dan tercover dengan cukup</t>
  </si>
  <si>
    <t>setelah ayam resting, goreng kembali ayam kurang lebih selama 1,5 menit.</t>
  </si>
  <si>
    <t>Plating karaage, berikan sauce okonomiyaki pada bagian ayam, taburi furikake, tempatkan kol kimchi setelah furikake, dan taburi daun bawang</t>
  </si>
  <si>
    <t>Gyutan Marinasi</t>
  </si>
  <si>
    <t>Panaskan teflon terlebih dahulu, masukan butter dan bawang bombay tumis terlebih dahulu, masukan gyutan yang sudah dimarinasi sauce yakiniku, lalu masak hingga matang</t>
  </si>
  <si>
    <t>Rice</t>
  </si>
  <si>
    <t>namun dipastikan tidak gosong dari bagian sauce nya gunakan api sedang dan terus di tumis.</t>
  </si>
  <si>
    <t>tuang nasi kedalam mangkuk, taburi furikake terlebih dahulu, tata rapih gyutan yang sudah dimasak, tempatkan onsen egg dibagian tengahnya, taburi daun bawang pada final</t>
  </si>
  <si>
    <t>Telur</t>
  </si>
  <si>
    <t>Untuk chili oilnya diberikan on the side</t>
  </si>
  <si>
    <t>Goreng Minched katsu yang sudah diprep dengan suhu minyak standart 170 derajat kurang lebih 2 menit,lalu istirahatkan 1 menit dan goreng kembali di 2menit lagi</t>
  </si>
  <si>
    <t>Chili Oil WIP</t>
  </si>
  <si>
    <t>angkat dan tiriskan minched katsunya.</t>
  </si>
  <si>
    <t>Wasabi mayo</t>
  </si>
  <si>
    <t>Butter</t>
  </si>
  <si>
    <t>siapkan piring/rice paper, berikan wasabi mayo untuk bagian pertama, setelah itu minched katsunya, berikan sauce okonomiyaki, setelah itu furikake</t>
  </si>
  <si>
    <t>berikan kol kimchi nya di bagian paling atas minched katsu nya.</t>
  </si>
  <si>
    <t>Ebi Furai/Katsu WIP</t>
  </si>
  <si>
    <t>Pastikan minyak sudah standart temprature, masukan perlahan udang yang sudah di prep goreng hingga warna kecoklatan namun tidak gosong</t>
  </si>
  <si>
    <t>Panaskan teflon terlebih dahulu, masukan butter dan bawang bombay tumis terlebih dahulu, masukan beef yang sudah dimarinasi sauce yakiniku, lalu masak hingga matang</t>
  </si>
  <si>
    <t>angkat dan tiriskan, di paper plate tuang cheese saucenya terlebih dahulu, tata udang tepat diatas sauce secara memanjang, taburi aonori</t>
  </si>
  <si>
    <t>tempatkan lime sichimi pada bagian pojok paper plate</t>
  </si>
  <si>
    <t>Ramen</t>
  </si>
  <si>
    <t>Pastikan boiler mendidih dengan sempurna, masukan ramen noodles dan berikan timer 1 menit. siapkan mangkok ramen, masukan garlic oil dan lada</t>
  </si>
  <si>
    <t>Miso Soup WIP</t>
  </si>
  <si>
    <t>panaskan miso soup menggunakan sauce pot dan pastikan mendidih maksimal, matikan kompor, tuang sesuai takaran yang dibutuhkan, lalu angkat ramen kalau sudah selesai timernya</t>
  </si>
  <si>
    <t>Jagung Manis</t>
  </si>
  <si>
    <t>Garlic Oil</t>
  </si>
  <si>
    <t>kocok kocok dulu untuk membuang sisa air dari boiler tadi, dan masukan ramen kedalam mangkoknya. berikan semua topping dengan cara ditata rapih dengan posisi menggunung</t>
  </si>
  <si>
    <t>Lada Putih</t>
  </si>
  <si>
    <t>Goreng terlebih dahulu jagung yang sudah direbus cukup sebentar sekitar 1 menit, angkat dan tiriskan</t>
  </si>
  <si>
    <t>Sulu Spice WIP</t>
  </si>
  <si>
    <t>0.5</t>
  </si>
  <si>
    <t>namun tidak menutupi satu sama lain topping nya</t>
  </si>
  <si>
    <t>keadaan jagung baru diangkat dari gorengan, masukan jagung kedalam wadah stainless bowllangsung berikan butter aduk hingga rata,</t>
  </si>
  <si>
    <t>Smocked Duck</t>
  </si>
  <si>
    <t>Butter unsalted</t>
  </si>
  <si>
    <t>lalu torch jagung tujuan untuk mendapatkan warna gosong sedikit saja</t>
  </si>
  <si>
    <t>Panaskan teflon terlebih dahulu, masukan butter dan bawang bombay tumis terlebih dahulu, masukan bebek yang sudah di slice, berikan sauce yakiniku, lalu masak hingga matang</t>
  </si>
  <si>
    <t>Smoked Duck Slice</t>
  </si>
  <si>
    <t>lalu taburi sulu spice aduk hingga rata (Pastikan)</t>
  </si>
  <si>
    <t>Prep: Grill; 1 slice.</t>
  </si>
  <si>
    <t>Jukut</t>
  </si>
  <si>
    <t>Plating jagung disusun rapih, taburi aonori dan berikan topping terakhir katsuobushi nya</t>
  </si>
  <si>
    <t>tuang nasi kedalam mangkuk, taburi furikake terlebih dahulu, tata rapih smoked duck yang sudah dimasak, tempatkan onsen egg dibagian tengahnya, taburi daun bawang pada final</t>
  </si>
  <si>
    <t>Telur Omega</t>
  </si>
  <si>
    <t>NOODLES STALL</t>
  </si>
  <si>
    <t>BUTIR</t>
  </si>
  <si>
    <t>SFC Marinated WIP</t>
  </si>
  <si>
    <t>Dry Flour Dry Mix WIP</t>
  </si>
  <si>
    <t>Div Margin</t>
  </si>
  <si>
    <t>siap kan mix flour, masukan ayam kedalam tepung dan baluri secara menyeluruh dan tercover dengan cukup,lalu celupkan kedalam air es kurang lebih 1 menit</t>
  </si>
  <si>
    <t>setelah dari air es, masukan kembali kedalam mix flour dan di tekan tekan secara perlahan dan pastikan tepung berbentuk kriting dan ayam terbaluri dengan baik</t>
  </si>
  <si>
    <t>goreng ayam selama kurang lebih 3 menit pertama, lalu resting 2 menit, lalu kembali goreng dengan waktu 2-3 menit, angkat lalu tiriskan ayam</t>
  </si>
  <si>
    <t>lemon</t>
  </si>
  <si>
    <t>tata ayam di piring, taburi sulu spice dan aonori, berikan irisan lemon di bagian sisi ayam. untuk chili oil dan cheese sauce di hidangkan secara terpisah di mangkuk kecil</t>
  </si>
  <si>
    <t>Pastikan boiler mendidih dengan sempurna, masukan ramen noodles dan berikan timer 1 menit. siapkan mangkok ramen, tuang goma ramen sauce,garlic oil,royco dan lada</t>
  </si>
  <si>
    <t>Chicken Broth</t>
  </si>
  <si>
    <t>panaskan broth menggunakan sauce pot dan pastikan mendidih maksimal, matikan kompor, tuang sesuai takaran yang dibutuhkan, lalu angkat ramen kalau sudah selesai timernya</t>
  </si>
  <si>
    <t>Spicy Goma Sauce WIP</t>
  </si>
  <si>
    <t>Royco</t>
  </si>
  <si>
    <t>Prep: Grill; 3 slice.</t>
  </si>
  <si>
    <t>setelah ayam resting, goreng kembali ayam kurang lebih selama 1,5 menit. angkat dan tiriskan.</t>
  </si>
  <si>
    <t>Udon</t>
  </si>
  <si>
    <t>Pastikan boiler mendidih dengan sempurna, masukan ramen noodles dan berikan timer 1 menit. siapkan sauce pot , tuang mazesoba sauce,garlic oil,royco,curry , lada dan butter</t>
  </si>
  <si>
    <t>Prep: Dice. Angkat ramen, masukan ke sauce pot yang sudah ada saucenya, aduk secara gentle dan merata bagus, tuang ke mangkuk secara rapih (center)</t>
  </si>
  <si>
    <t>tata rapih semua topping dan tidak menutupi topping satu sama lain.</t>
  </si>
  <si>
    <t>Cooking Cream</t>
  </si>
  <si>
    <t>Prep: Prep lurus.</t>
  </si>
  <si>
    <t>Pastikan boiler mendidih dengan sempurna, masukan ramen noodles dan berikan timer 1 menit. siapkan mangkok ramen, tuang shoyu ramen sauce,garlic oil,royco dan lada</t>
  </si>
  <si>
    <t>Shoyu Ramen Sauce</t>
  </si>
  <si>
    <t>Marinasi Beef (Noodles) WIP</t>
  </si>
  <si>
    <t>Mazesoba Sauce WIP</t>
  </si>
  <si>
    <t>Angkat ramen, masukan ke sauce pot yang sudah ada saucenya, aduk secara gentle dan merata bagus, tuang ke mangkuk secara rapih (center)</t>
  </si>
  <si>
    <t>Curry Powder</t>
  </si>
  <si>
    <t>Truffle Oil</t>
  </si>
  <si>
    <t>Smoked Beef</t>
  </si>
  <si>
    <t>Prep: Potong-potong.</t>
  </si>
  <si>
    <t>Sawi Kimchi WIP</t>
  </si>
  <si>
    <t>Garlic Chip</t>
  </si>
  <si>
    <t>MARKET LIST</t>
  </si>
  <si>
    <t>Category</t>
  </si>
  <si>
    <t>Ingredients</t>
  </si>
  <si>
    <t>Weight (gr/ea/ml)</t>
  </si>
  <si>
    <t>Unit Cost</t>
  </si>
  <si>
    <t>Unit Price (g)</t>
  </si>
  <si>
    <t>Raw Material</t>
  </si>
  <si>
    <t>Garam</t>
  </si>
  <si>
    <t>Dry chili</t>
  </si>
  <si>
    <t>rice vinegar</t>
  </si>
  <si>
    <t>gula putih</t>
  </si>
  <si>
    <t>Sesame oil</t>
  </si>
  <si>
    <t>Air</t>
  </si>
  <si>
    <t>Telur rebus dan chopped</t>
  </si>
  <si>
    <t>Kewpie Mayonnaise</t>
  </si>
  <si>
    <t>Hondashi</t>
  </si>
  <si>
    <t>Gochujang Paste</t>
  </si>
  <si>
    <t>Jahe</t>
  </si>
  <si>
    <t>Gula</t>
  </si>
  <si>
    <t>Bawang Putih</t>
  </si>
  <si>
    <t>Cabe Kering</t>
  </si>
  <si>
    <t>Togarashi / Chili Powder</t>
  </si>
  <si>
    <t>Ajinomoto</t>
  </si>
  <si>
    <t>Sesame seed</t>
  </si>
  <si>
    <t>Daun Kucai</t>
  </si>
  <si>
    <t>Shoyu</t>
  </si>
  <si>
    <t>Lada bubuk</t>
  </si>
  <si>
    <t>Paha ayam fillet tanpa kulit</t>
  </si>
  <si>
    <t>Soy sauce kikkoman</t>
  </si>
  <si>
    <t>Sugar/gula putih</t>
  </si>
  <si>
    <t>Soy sauce kikkoman Halal</t>
  </si>
  <si>
    <t>Brown Sugar</t>
  </si>
  <si>
    <t>Sauce Tomat</t>
  </si>
  <si>
    <t>Tulang Ceker ayam / Tulang Sayap ayam</t>
  </si>
  <si>
    <t>Yakinori sheets</t>
  </si>
  <si>
    <t>SHEETS</t>
  </si>
  <si>
    <t>kikkoman soy sauce halal</t>
  </si>
  <si>
    <t>White sesame</t>
  </si>
  <si>
    <t>Ichimi Togarashi</t>
  </si>
  <si>
    <t>Ayam Giling</t>
  </si>
  <si>
    <t>Sawi Putih</t>
  </si>
  <si>
    <t>soy kikkoman</t>
  </si>
  <si>
    <t>Lada putih bubuk</t>
  </si>
  <si>
    <t>Campignon</t>
  </si>
  <si>
    <t>Mentaiko Paste</t>
  </si>
  <si>
    <t>Madu</t>
  </si>
  <si>
    <t>Chili sauce</t>
  </si>
  <si>
    <t>Shoyu kikkoman</t>
  </si>
  <si>
    <t>Fresh milk</t>
  </si>
  <si>
    <t>Gula Merah</t>
  </si>
  <si>
    <t>Apel Fuji</t>
  </si>
  <si>
    <t>Lemon Juice</t>
  </si>
  <si>
    <t>Minyak Sesame</t>
  </si>
  <si>
    <t>Dry Shitake</t>
  </si>
  <si>
    <t>WORK IN PROGRESS</t>
  </si>
  <si>
    <t>Sour Plum</t>
  </si>
  <si>
    <t>Semua Sub Menu / Sub-Recipe dan production base yang mendukung menu. Seluruh nama item menggunakan suffix WIP.</t>
  </si>
  <si>
    <t>BUAH</t>
  </si>
  <si>
    <t>Plum syrup</t>
  </si>
  <si>
    <t>Tepung Roti</t>
  </si>
  <si>
    <t>Portion</t>
  </si>
  <si>
    <t>Es Batu</t>
  </si>
  <si>
    <t>Bawang Putih Goreng</t>
  </si>
  <si>
    <t>Chili Flakes/ dry chili chop</t>
  </si>
  <si>
    <t>Use (g/ml/ea)</t>
  </si>
  <si>
    <t>Unit Price / Unit</t>
  </si>
  <si>
    <t>Price</t>
  </si>
  <si>
    <t>Grenadine syrup</t>
  </si>
  <si>
    <t>Shicimi Togarashi / Chili powder</t>
  </si>
  <si>
    <t>Hondasi</t>
  </si>
  <si>
    <t>Simple syrup</t>
  </si>
  <si>
    <t>Bawang Merah</t>
  </si>
  <si>
    <t>Soda</t>
  </si>
  <si>
    <t>Yuzu syrup</t>
  </si>
  <si>
    <t>Aduk semua bahan pastikan tercampur dengan rata</t>
  </si>
  <si>
    <t>Air Mineral</t>
  </si>
  <si>
    <t>Sawi</t>
  </si>
  <si>
    <t>Prep: Slice.</t>
  </si>
  <si>
    <t>Air Dashi</t>
  </si>
  <si>
    <t>Daging beef giling</t>
  </si>
  <si>
    <t>Prep: Chopped.</t>
  </si>
  <si>
    <t>Oyster Sauce</t>
  </si>
  <si>
    <t>Prep: Parut.</t>
  </si>
  <si>
    <t>Telur Pasar Curah</t>
  </si>
  <si>
    <t>Source: User recipe - Yokoco Beverage</t>
  </si>
  <si>
    <t>Tepung roti (ditempat berbeda)</t>
  </si>
  <si>
    <t>KG</t>
  </si>
  <si>
    <t>Tepung Segitiga biru</t>
  </si>
  <si>
    <t>Nasi Panas</t>
  </si>
  <si>
    <t>Pasta miso</t>
  </si>
  <si>
    <t>cabe hijau besar</t>
  </si>
  <si>
    <t>tomat hijau</t>
  </si>
  <si>
    <t>celeri steak</t>
  </si>
  <si>
    <t>minyak</t>
  </si>
  <si>
    <t>terigu</t>
  </si>
  <si>
    <t>Yuzu Milk</t>
  </si>
  <si>
    <t>Shayou kikkoman</t>
  </si>
  <si>
    <t>Element Cost</t>
  </si>
  <si>
    <t>Nasi</t>
  </si>
  <si>
    <t>Orange juice</t>
  </si>
  <si>
    <t>Source: SULU-bdg FoodTesting.xlsx - SUB-RECIPE CARD</t>
  </si>
  <si>
    <t>LEMBAR</t>
  </si>
  <si>
    <t>BEEF STEAK</t>
  </si>
  <si>
    <t>Sichimi</t>
  </si>
  <si>
    <t>Telur Pasar</t>
  </si>
  <si>
    <t>Paprika powder</t>
  </si>
  <si>
    <t>Jinten Powder</t>
  </si>
  <si>
    <t>Milac Cream</t>
  </si>
  <si>
    <t>Siapkan Stainless bowl, masukan semua bahan nya dan aduk menggunakan baloon whisk hingga rata dan bagus (tidak ada gumpalan)</t>
  </si>
  <si>
    <t>Bulldog tonkotsu sauce</t>
  </si>
  <si>
    <t>Madu Nusantara</t>
  </si>
  <si>
    <t>bulldog Wonchester sauce</t>
  </si>
  <si>
    <t>Ayam</t>
  </si>
  <si>
    <t>Segitiga biru</t>
  </si>
  <si>
    <t>Meizena</t>
  </si>
  <si>
    <t>Baking Powder</t>
  </si>
  <si>
    <t>Sichimi Togarashi</t>
  </si>
  <si>
    <t>Parmesan Cheese</t>
  </si>
  <si>
    <t>Miso Paste</t>
  </si>
  <si>
    <t>Minyak Kulit Ayam (minyak nya aja)</t>
  </si>
  <si>
    <t>Minyak sayur</t>
  </si>
  <si>
    <t>Sauce Tiram</t>
  </si>
  <si>
    <t>Gelatine Powder</t>
  </si>
  <si>
    <t>Whipping Cream</t>
  </si>
  <si>
    <t>Egg Yolk</t>
  </si>
  <si>
    <t>Gula Pasir</t>
  </si>
  <si>
    <t>Dark Chocolate 54%</t>
  </si>
  <si>
    <t>Dark Chocolate 70%</t>
  </si>
  <si>
    <t>Chocolate Powder</t>
  </si>
  <si>
    <t>Cream</t>
  </si>
  <si>
    <t>Maizena</t>
  </si>
  <si>
    <t>Hojicha Powder</t>
  </si>
  <si>
    <t>Unsalted Butter</t>
  </si>
  <si>
    <t>Vanilla Extra</t>
  </si>
  <si>
    <t>Matcha Powder</t>
  </si>
  <si>
    <t>RAP Instan</t>
  </si>
  <si>
    <t>Water</t>
  </si>
  <si>
    <t>Oolong Peach</t>
  </si>
  <si>
    <t>Icing Sugar</t>
  </si>
  <si>
    <t>Strawberry Fresh</t>
  </si>
  <si>
    <t>Orange Syrup WIP</t>
  </si>
  <si>
    <t>Strawberry Puree</t>
  </si>
  <si>
    <t>Tepung Terigu Protein Tinggi (Cakra)</t>
  </si>
  <si>
    <t>Whole Egg</t>
  </si>
  <si>
    <t>Peach syrup</t>
  </si>
  <si>
    <t>Ragi Instan</t>
  </si>
  <si>
    <t>Tepung Terigu Protein Rendah (Segitiga)</t>
  </si>
  <si>
    <t>Oolong Tea WIP</t>
  </si>
  <si>
    <t>Milk Powder</t>
  </si>
  <si>
    <t>Improver</t>
  </si>
  <si>
    <t>Egg White</t>
  </si>
  <si>
    <t>Tepung Ketan Putih</t>
  </si>
  <si>
    <t>Olive Oil Classic</t>
  </si>
  <si>
    <t>Pecahkan telur dengan cara hati hati, dikarnakan khawatir ada yang busuk dan rusak, setelah itu masukan semua bahan menjadi 1 di stainless bowl</t>
  </si>
  <si>
    <t>aduk hingga merata dan berbusa (aduk dengan kuat) , setelah itu di saring ke stainless 1 nya, guna takut ada benda asing didalam adukan telur itu</t>
  </si>
  <si>
    <t>panas kan teflon tamagoyaki, tuangkan minyak dan masak adonan tamagoyaki dengan cara perlahan dan bertahap dengan cara tuang setiap lembar</t>
  </si>
  <si>
    <t>Lakukan hingga selesai dan berbentuk kotak (balok)</t>
  </si>
  <si>
    <t>0,00%</t>
  </si>
  <si>
    <t>Prep: Untuk masak.</t>
  </si>
  <si>
    <t>Cheese</t>
  </si>
  <si>
    <t>Ayam SFC marinate</t>
  </si>
  <si>
    <t>SFC mix flour</t>
  </si>
  <si>
    <t>Source: resep brioche burger bun. hotdog(1).pdf</t>
  </si>
  <si>
    <t>Onsen Egg</t>
  </si>
  <si>
    <t>GR/ML</t>
  </si>
  <si>
    <t>panas kan panci, masukan tepung segitigabiru, sauted terlebih dahulu, kurang lebih 2 menit menggunakan api sedang,lalu masukan butter</t>
  </si>
  <si>
    <t>aduk kembali butter dan segitigabiru hingga mengikat, lalu masukan freshmilk langsung aduk hingga rata menggunakan api kecil</t>
  </si>
  <si>
    <t>masukan cheese yang sudah diparut aduk kembali hingga rata (Jangan ada gumpalan), lalu masukan hondashi dan garam. matikan kompor</t>
  </si>
  <si>
    <t>Blueberrys juice ( Diamond )</t>
  </si>
  <si>
    <t>Espresso based</t>
  </si>
  <si>
    <t>Lychee juice (Squeeze)</t>
  </si>
  <si>
    <t>Creamer powder</t>
  </si>
  <si>
    <t>Squeeze Sirsak</t>
  </si>
  <si>
    <t>Beef Sausage</t>
  </si>
  <si>
    <t>Chicken Sausage</t>
  </si>
  <si>
    <t>Panas kan Panci lalu masukan minyak sedikit dulu untuk tumis jahe,bawang putih dan bawang merah terlebih dahulu</t>
  </si>
  <si>
    <t>Prep: Blender. masukan air,tunggu hingga mendidih dan sedikit surut. masukan semua bahan yang tersisa kecuali katsuobushi</t>
  </si>
  <si>
    <t>ditempat lain, katsuobushi dipanaskan terlebih dahulu menggunakan teflon kering menggunakan api kecil, bertujuan untuk</t>
  </si>
  <si>
    <t>WIP / Sub Menu</t>
  </si>
  <si>
    <t>mengering kan katsuobushi dan mudah di remas remas hingga hancur. setelah dirasa cukup hancur.</t>
  </si>
  <si>
    <t>WIP</t>
  </si>
  <si>
    <t>satukan katsuobushi yang sudah hancur</t>
  </si>
  <si>
    <t>kedalam panci bersama bahan bahan tadi di awal, panas kan menggunakan api kecil kurang lebih 10 menitan sambil diaduk aduk.</t>
  </si>
  <si>
    <t>Prep: Blender halus.</t>
  </si>
  <si>
    <t>Prep: Kupas; blender halus.</t>
  </si>
  <si>
    <t>Chocolate Base WIP</t>
  </si>
  <si>
    <t>Dashi Udon WIP</t>
  </si>
  <si>
    <t>Diplomat Filling WIP</t>
  </si>
  <si>
    <t>Hojicha Base WIP</t>
  </si>
  <si>
    <t>Kimchi Based WIP</t>
  </si>
  <si>
    <t>Source: resep chocolate base(1).pdf</t>
  </si>
  <si>
    <t>Marinated Cumi WIP</t>
  </si>
  <si>
    <t>Matcha Base WIP</t>
  </si>
  <si>
    <t>Source: chocolate filling.pdf</t>
  </si>
  <si>
    <t>Nori Sauce WIP</t>
  </si>
  <si>
    <t>Okayu WIP</t>
  </si>
  <si>
    <t>Source: resep chocolate sauce(1).pdf</t>
  </si>
  <si>
    <t>Pastry Cream WIP</t>
  </si>
  <si>
    <t>Sambal Hijau WIP</t>
  </si>
  <si>
    <t>potong timun memanjang menjadi 2 bagian, lalu bersihkan Bijinya menggunakan sendok kecil</t>
  </si>
  <si>
    <t>Prep: Taburkan pada timun saja. Lalu slice tipis timun , setelah itu taburi garam hingga semua terbaluri, diamkan selama 30 menit</t>
  </si>
  <si>
    <t>bersihkan kyuri dengan cara pakai air mengalir sampai bersih sudah tidak ada garam (check rasanya)</t>
  </si>
  <si>
    <t>Shoyu Gyoza WIP</t>
  </si>
  <si>
    <t>rendam kyuri dengan sauce pickles lalu rendam selama 1 malam</t>
  </si>
  <si>
    <t>Spicy Mayo WIP</t>
  </si>
  <si>
    <t>Strawberry Filling WIP</t>
  </si>
  <si>
    <t>Panaskan semua bahan menggunakan api besar, tunggu hingga mendidih lalu matikan api</t>
  </si>
  <si>
    <t>Strawberry Sauce WIP</t>
  </si>
  <si>
    <t>dashi udon sudah bisa digunakan</t>
  </si>
  <si>
    <t>Sushi Vinegar WIP</t>
  </si>
  <si>
    <t>Tendon Sauce WIP</t>
  </si>
  <si>
    <t>Yakiniku Sauce WIP</t>
  </si>
  <si>
    <t>Source: resep diplomat filling(1).pdf</t>
  </si>
  <si>
    <t>Yuzu Sauce WIP</t>
  </si>
  <si>
    <t>Source: resep donat. bomboloni(1).pdf</t>
  </si>
  <si>
    <t>Kupas Udang, sisakan Bagian Kepala dan ekornya saja, lalu sayat bagian perut udang secara perlahan kira kira 3-4 sayatan</t>
  </si>
  <si>
    <t>Pijat dengan tujuan udang menjadi lurus rapih tanpa putus daging nya, lakukan hingga semua udang selesai.</t>
  </si>
  <si>
    <t>taburi dengan garem, gula dan lada secara menyeluruh dan rata, diam kan dulu kurang lebih 30 menit.</t>
  </si>
  <si>
    <t>lumuri badan udang dengan tepung segitiga biru terlebih dahulu, lalu lanjut ke telur, lalu terakhir ke bagian tepung roti.</t>
  </si>
  <si>
    <t>lakukan hingga semua udang selesai, tempatkan pada stainless tray dengan rapi, tidak ditumpuk asal asalan, setelah itu beku kan udang</t>
  </si>
  <si>
    <t>Chopper Udang dan Cumi kupas bersih, sisihkan ke stainless bowl</t>
  </si>
  <si>
    <t>Blender halus semua bahan kecuali tepung roti dan tepung tapioka, hasil blender langsung satukan dengan cumi dan udang</t>
  </si>
  <si>
    <t>yang sudah di chopper, lalu masukan tepung roti dan tepung tapioka, aduk semua bahan hingga rata dan menyeluruh</t>
  </si>
  <si>
    <t>siap kan air mendidih</t>
  </si>
  <si>
    <t>masukan telur secara perlahan</t>
  </si>
  <si>
    <t>gunakan api medium dan rebus selama 10 menit atau hingga matang</t>
  </si>
  <si>
    <t>Prep: Chopped. setelah matang kupas satu persatu telur</t>
  </si>
  <si>
    <t>Chop bombay dan cucumber pickles</t>
  </si>
  <si>
    <t>ditempat yang lain masukan bombay,cucumber pickles dan semua bumbu (ratakan terlebih dahulu)</t>
  </si>
  <si>
    <t>potong kecil kecil telur tadi menggunakan egg cutter dan satukan dengan bahan bahan yang lain (Bombay,etc)</t>
  </si>
  <si>
    <t>panas kan pan, masukan katsuobushi secara perlahan (bertujuan cukup kering dan mudah untuk di remas remas hingga hancur)</t>
  </si>
  <si>
    <t>panggang nori perlahan hingga kering(jangan gosong) lalu remas remas hancur</t>
  </si>
  <si>
    <t>hasil dari nori dan katsuobushi yang sudah di panaskan dan hancur tadi lalu aduk rata dengan semua bahan sesuai recipe</t>
  </si>
  <si>
    <t>simpan pada box dan siap dipakai</t>
  </si>
  <si>
    <t>Siapkan bahan satukan dalam satu wadah dan aduk setelah tercampur rata dipindahkan ke wadah bottle</t>
  </si>
  <si>
    <t>Source: resep hojicha base(1).pdf</t>
  </si>
  <si>
    <t>Source: resep hojicha filling(1).pdf</t>
  </si>
  <si>
    <t>Source: resep hojicha sauce(1).pdf</t>
  </si>
  <si>
    <t>blender halus semua bahan kecuali daun kucai (di potong kecil kecil)</t>
  </si>
  <si>
    <t>campurkan semua bahan yang sudah diblender tadi kedalam wadah hingga menyeluruh dan potongan daun kucai</t>
  </si>
  <si>
    <t>dan diamkan 1 jam, baru bisa dipakai.</t>
  </si>
  <si>
    <t>Prep: Kupas.</t>
  </si>
  <si>
    <t>Prep: Slice; masukkan terakhir.</t>
  </si>
  <si>
    <t>Goreng dahulu kol slice nya, hingga sedikit kecoklatan</t>
  </si>
  <si>
    <t>Angkat dan tiriskan kol, setelah itu cukup campurkan kimchi based dan aduk hingga merata</t>
  </si>
  <si>
    <t>Panas kan semua bahan menjadi satu hingga mendidih terlebih dahulu, matikan kompor</t>
  </si>
  <si>
    <t>lalu potong beef slice menjadi 3 (posisi beef memanjang)</t>
  </si>
  <si>
    <t>masukan beef kedalam sauce dan mendidihkan kembali sauce, lalu matikan kompor dan beef sudah bisa di gunakan</t>
  </si>
  <si>
    <t>Campurkan semua bahan di wadah menjadi satu,lalu tuangkan ke cumi yang sudah dibersihkan.</t>
  </si>
  <si>
    <t>Prep: Peras.</t>
  </si>
  <si>
    <t>Source: resep macha base(1).pdf</t>
  </si>
  <si>
    <t>Source: resep macha filling(1).pdf</t>
  </si>
  <si>
    <t>Source: resep macha sauce(1).pdf</t>
  </si>
  <si>
    <t>Aduk semua bahan pastikan tercampur dengan rata, Lalu panaskan menggunkan api kecil dan terus diaduk</t>
  </si>
  <si>
    <t>tujuan hanya untuk melarutkan semua bahan dan memastikan semua menyatu dengan baik (tidak perlu mendidih)</t>
  </si>
  <si>
    <t>cukup campurkan semua bahan dan pastikan tercampur dengan baik</t>
  </si>
  <si>
    <t>siapkan wadah besar, masukan beef giling terlebih dahulu dan pastikan sudah tidak ada air</t>
  </si>
  <si>
    <t>Prep: Chopped halus. masukan semua bahan yang sudah di gramasi menjadi 1 dan aduk hingga tercampur rata dan baik</t>
  </si>
  <si>
    <t>Ketika portioning sangat diwajibkan untuk di banting banting dari tangan kanan ke kiri atau sebaliknya, bertujuan untuk memastikan</t>
  </si>
  <si>
    <t>semua bahan merekat dan padat</t>
  </si>
  <si>
    <t>siapkan wadah terpisah antara tepung roti (no.14) ,tepung segitiga biru dan telur pasar yang sudah dikocok</t>
  </si>
  <si>
    <t>Lumuri adonan minched yang sudah dibentuk dan di portioning (90gr) dengan tepung segitigabiru,lalu lumuri dengan telur pasar</t>
  </si>
  <si>
    <t>Setelah terlumuri telur tadi,lalu masukan kedalam tepung roti kering dan di tekan perlahan.</t>
  </si>
  <si>
    <t>Lakukan terus menerus hingga semua adonan selesai di preparation.</t>
  </si>
  <si>
    <t>Prep: Chopper.</t>
  </si>
  <si>
    <t>Mendidihkan air dashi terlebih dahulu, lalu masukan miso paste menggunakan saringan ramen dan aduk menggunakan baloon whisk</t>
  </si>
  <si>
    <t>pastikan miso paste larut, lalu masukan semua bahan yang tersisa, mendidihkan kembali, lalu matikan kompor dan pindah kan panci</t>
  </si>
  <si>
    <t>jangan standby di atas kompor karna dikompor akan ada api pilot yang standby dan membuat kuah termasak terus</t>
  </si>
  <si>
    <t>lalu ketika mau packing atau penggunaan pastikan kuah selalu diaduk terlebih dahulu,karna akan terjadi pengendapan jika tidak di aduk</t>
  </si>
  <si>
    <t>Source: Resep Mochi Plain(1).pdf</t>
  </si>
  <si>
    <t>Mixing semua dan panaskan jangan sampai mendidih, hanya bertujuan melarutkan gula saja, lalu setelah selesai bisa digunakan</t>
  </si>
  <si>
    <t>Siapkan stainless bowl besar, masukan nasi yang baru matang dan panas kedalamnya</t>
  </si>
  <si>
    <t>lalu campurkan sushi vinegar secara merata , lalu aduk aduk nasi hingga tercampur dengan baik.</t>
  </si>
  <si>
    <t>Prep: Robek-robek. Masak Semua Bahan menggunakan api kecil, pastikan nori nantinya harus menjadi paste</t>
  </si>
  <si>
    <t>Siapkan Nasi dan air dashi.Masukan nasi ke dalam sauce pan.masak dengan api kecil lalu aduk secara perlahan hingga teksture nya menjadi</t>
  </si>
  <si>
    <t>bubur lalu masukan seasoning aduk hingga merata.</t>
  </si>
  <si>
    <t>Siapkan stainless bowl, masukan semua bahan menjadi 1 lalu aduk dan pastikan semua bahan tercapur dengan rata dan baik</t>
  </si>
  <si>
    <t>Source: resep pastry cream(1).pdf</t>
  </si>
  <si>
    <t>Source: resep salt bread(1).pdf</t>
  </si>
  <si>
    <t>siapkan semua bahan, lalu potong potong lanjut masukan ke dalam chopper, lalu chopper menggunakan air sebanyak 200ml untuk mempermudah</t>
  </si>
  <si>
    <t>lalu setelah selesai chopper, siapkan panci sauce pot, masukan air kira kira 2 sendok makan untuk menumis, lalu masukan bahan yang sudah</t>
  </si>
  <si>
    <t>di chopper, gunakan api sedang, dan masak sambil di aduk hingga mengental seperti layaknya teksture sambal</t>
  </si>
  <si>
    <t>masukan semua bumbu, lalu masak kembali kurang lebih 1 menit, setelah itu matikan kompor dan pindahkan ke container.</t>
  </si>
  <si>
    <t>Prep: Potong. Rebus dahulu sawi putih cukup setengah matang</t>
  </si>
  <si>
    <t>Angkat dan tiriskan sawi, setelah itu cukup campurkan kimchi based dan aduk hingga merata</t>
  </si>
  <si>
    <t>Aduk semua bahan didalam satu wadah hingga merata</t>
  </si>
  <si>
    <t>lalu siapkan ayam yang akan dimarinasi dan yang sudah dicuci bersih</t>
  </si>
  <si>
    <t>masukan ayam kedalam plastik vacum lalu tuangkan sauce marinasi kedalam ayam, diamkan terlebih dahulu sampai kurang lebih 2 jam</t>
  </si>
  <si>
    <t>dan masukan kedalam botol</t>
  </si>
  <si>
    <t>Source: resep soulffle pancake(1).pdf</t>
  </si>
  <si>
    <t>Por</t>
  </si>
  <si>
    <t>Semua cukup diaduk rata saja</t>
  </si>
  <si>
    <t>Cara pengaplikasiannya : Dengan Ayam paha fillet 1 kg cukup berikan soy chicken ini 125 ml (diamkan minimal 5 jam)</t>
  </si>
  <si>
    <t>potong ayam paha fillet masing masing seberat 35-40 gr</t>
  </si>
  <si>
    <t>Wijen yang sudah disangrai, di blender halus dengan minyak terlebih dahulu, setelah halus, siapkan panci gunakan api sedang</t>
  </si>
  <si>
    <t>masukan wijen yang sudah di blender dengan minyak kedalam panci, tumis sebentar kurang lebih 2 menit, setelah itu masukan semua</t>
  </si>
  <si>
    <t>bahan yang tersisa sesuai resep kedalam panci , aduk perlahan kurang lebih 5-7 menit, ketika sudah mendidih, matikan kompor</t>
  </si>
  <si>
    <t>pindahkan kedalam box, dan diam kan sampai suhu normal.</t>
  </si>
  <si>
    <t>Source: resep stowberry filling(1).pdf</t>
  </si>
  <si>
    <t>Source: resep stowberry jam(1).pdf</t>
  </si>
  <si>
    <t>Source: resep stowberry sauce(1).pdf</t>
  </si>
  <si>
    <t>Cukup Blender Semua bahan namun tidak sampai halus, usahakan masih ada teksture</t>
  </si>
  <si>
    <t>siapkan stainless bowl lalu masukan semua bahan menjadi 1, cukup aduk menggunakan whisk hingga gula dan garam larut</t>
  </si>
  <si>
    <t>Grill wortel,ceker ayam, daun bawang potong dan bombay terlebih dahulu,hingga mengeluarkan aroma</t>
  </si>
  <si>
    <t>Panas kan semua bahan menggunakan api besar terlebih dahulu, masukan bahan yang sudah di grilled</t>
  </si>
  <si>
    <t>lalu setelah mendidih kecil kan api dan diam kan hingga mengental (2-3 jam slow cooking)</t>
  </si>
  <si>
    <t>Prep: Potong.</t>
  </si>
  <si>
    <t>Panaskan semua bahan menggunakan api sedang hingga mendidih, cukup aduk dan pastikan rasa yang dicapai yaitu manis gurih</t>
  </si>
  <si>
    <t>Semua bahan cukup dicampurkan menjadi satu, dan panaskan menggunakan api sedang, sambil di aduk menggunakan whisk</t>
  </si>
  <si>
    <t>sampai mendidih lalu matikan kompor, dan diam kan</t>
  </si>
  <si>
    <t>Source: resep vanilla sauce(1).pdf</t>
  </si>
  <si>
    <t>Siapkan Panci/sauce pot dan masukan semua bahan langsung semua</t>
  </si>
  <si>
    <t>Panas kan menggunakan api sedang, sambil di aduk dan tunggu hingga mendidih lalu matikan api</t>
  </si>
  <si>
    <t>diamkan sauce hingga room temp, lalu pindah kan sauce kedalam wadah</t>
  </si>
  <si>
    <t>Prep: Kupas; blender/parut.</t>
  </si>
  <si>
    <t>Prep: Blender/parut.</t>
  </si>
  <si>
    <t>Blender halus semua bahan kecuali butter, setelah semua diblender, masukan butter yang masih keadaan dingin(tidak cair)</t>
  </si>
  <si>
    <t>Blender Kembali semua menjadi 1 cukup pastikan semua tercampur dengan rata dan baik.</t>
  </si>
  <si>
    <t>Yakitori butter dapat digunakan dalam keadaan soft butter (mudah di oleskan ke yakitori) jangan terlalu cair.</t>
  </si>
  <si>
    <t>Bawang putih goreng</t>
  </si>
  <si>
    <t>Cukup aduk semua bahan menjadi 1 dengan merata</t>
  </si>
  <si>
    <t>Slice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</si>
</sst>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.00"/>
    <numFmt numFmtId="165" formatCode="[$Rp]#,##0"/>
  </numFmts>
  <fonts count="21">
    <font>
      <sz val="11.0"/>
      <color rgb="FF000000"/>
      <name val="Carlito"/>
      <scheme val="minor"/>
    </font>
    <font>
      <b/>
      <sz val="24.0"/>
      <color rgb="FFFFFFFF"/>
      <name val="Poppins"/>
    </font>
    <font/>
    <font>
      <b/>
      <sz val="18.0"/>
      <color rgb="FF000000"/>
      <name val="Poppins"/>
    </font>
    <font>
      <b/>
      <sz val="10.0"/>
      <color rgb="FFFFFFFF"/>
      <name val="Poppins"/>
    </font>
    <font>
      <b/>
      <sz val="10.0"/>
      <color rgb="FF000000"/>
      <name val="Poppins"/>
    </font>
    <font>
      <sz val="10.0"/>
      <color rgb="FF000000"/>
      <name val="Arial"/>
    </font>
    <font>
      <sz val="10.0"/>
      <color theme="1"/>
      <name val="Poppins"/>
    </font>
    <font>
      <sz val="10.0"/>
      <color theme="1"/>
      <name val="Carlito"/>
      <scheme val="minor"/>
    </font>
    <font>
      <sz val="10.0"/>
      <color rgb="FF000000"/>
      <name val="Poppins"/>
    </font>
    <font>
      <sz val="11.0"/>
      <color theme="1"/>
      <name val="Carlito"/>
    </font>
    <font>
      <b/>
      <sz val="10.0"/>
      <color theme="1"/>
      <name val="Poppins"/>
    </font>
    <font>
      <b/>
      <sz val="11.0"/>
      <color rgb="FF000000"/>
      <name val="Poppins"/>
    </font>
    <font>
      <sz val="11.0"/>
      <color rgb="FF000000"/>
      <name val="Arial"/>
    </font>
    <font>
      <sz val="11.0"/>
      <color rgb="FF000000"/>
      <name val="Poppins"/>
    </font>
    <font>
      <b/>
      <color rgb="FF000000"/>
      <name val="Poppins"/>
    </font>
    <font>
      <i/>
      <sz val="9.0"/>
      <color theme="1"/>
      <name val="Poppins"/>
    </font>
    <font>
      <color rgb="FF000000"/>
      <name val="Poppins"/>
    </font>
    <font>
      <color rgb="FF000000"/>
      <name val="Arial"/>
    </font>
    <font>
      <sz val="11.0"/>
      <color rgb="FF000000"/>
      <name val="Carlito"/>
    </font>
    <font>
      <color theme="1"/>
      <name val="Carlito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15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2" fillId="3" fontId="5" numFmtId="2" xfId="0" applyAlignment="1" applyBorder="1" applyFont="1" applyNumberFormat="1">
      <alignment horizontal="center" vertical="center"/>
    </xf>
    <xf borderId="2" fillId="3" fontId="5" numFmtId="1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shrinkToFit="0" wrapText="1"/>
    </xf>
    <xf borderId="3" fillId="3" fontId="5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shrinkToFit="0" vertical="center" wrapText="1"/>
    </xf>
    <xf borderId="5" fillId="5" fontId="6" numFmtId="0" xfId="0" applyAlignment="1" applyBorder="1" applyFont="1">
      <alignment shrinkToFit="0" vertical="center" wrapText="1"/>
    </xf>
    <xf borderId="2" fillId="4" fontId="5" numFmtId="164" xfId="0" applyAlignment="1" applyBorder="1" applyFont="1" applyNumberFormat="1">
      <alignment shrinkToFit="0" wrapText="1"/>
    </xf>
    <xf borderId="5" fillId="5" fontId="6" numFmtId="164" xfId="0" applyAlignment="1" applyBorder="1" applyFont="1" applyNumberFormat="1">
      <alignment shrinkToFit="0" vertical="center" wrapText="1"/>
    </xf>
    <xf borderId="2" fillId="4" fontId="5" numFmtId="10" xfId="0" applyAlignment="1" applyBorder="1" applyFont="1" applyNumberFormat="1">
      <alignment shrinkToFit="0" wrapText="1"/>
    </xf>
    <xf borderId="5" fillId="5" fontId="6" numFmtId="2" xfId="0" applyAlignment="1" applyBorder="1" applyFont="1" applyNumberFormat="1">
      <alignment shrinkToFit="0" vertical="center" wrapText="1"/>
    </xf>
    <xf borderId="2" fillId="4" fontId="5" numFmtId="0" xfId="0" applyAlignment="1" applyBorder="1" applyFont="1">
      <alignment shrinkToFit="0" wrapText="1"/>
    </xf>
    <xf borderId="5" fillId="5" fontId="6" numFmtId="1" xfId="0" applyAlignment="1" applyBorder="1" applyFont="1" applyNumberFormat="1">
      <alignment shrinkToFit="0" vertical="center" wrapText="1"/>
    </xf>
    <xf borderId="3" fillId="4" fontId="5" numFmtId="0" xfId="0" applyAlignment="1" applyBorder="1" applyFont="1">
      <alignment shrinkToFit="0" wrapText="1"/>
    </xf>
    <xf borderId="1" fillId="6" fontId="7" numFmtId="0" xfId="0" applyAlignment="1" applyBorder="1" applyFill="1" applyFont="1">
      <alignment shrinkToFit="0" wrapText="1"/>
    </xf>
    <xf borderId="6" fillId="5" fontId="6" numFmtId="0" xfId="0" applyAlignment="1" applyBorder="1" applyFont="1">
      <alignment shrinkToFit="0" vertical="center" wrapText="1"/>
    </xf>
    <xf borderId="7" fillId="5" fontId="6" numFmtId="0" xfId="0" applyAlignment="1" applyBorder="1" applyFont="1">
      <alignment shrinkToFit="0" vertical="center" wrapText="1"/>
    </xf>
    <xf borderId="0" fillId="5" fontId="6" numFmtId="0" xfId="0" applyAlignment="1" applyFont="1">
      <alignment shrinkToFit="0" vertical="center" wrapText="1"/>
    </xf>
    <xf borderId="2" fillId="7" fontId="7" numFmtId="164" xfId="0" applyAlignment="1" applyBorder="1" applyFill="1" applyFont="1" applyNumberFormat="1">
      <alignment shrinkToFit="0" wrapText="1"/>
    </xf>
    <xf borderId="0" fillId="5" fontId="6" numFmtId="164" xfId="0" applyAlignment="1" applyFont="1" applyNumberFormat="1">
      <alignment shrinkToFit="0" vertical="center" wrapText="1"/>
    </xf>
    <xf borderId="0" fillId="5" fontId="6" numFmtId="1" xfId="0" applyAlignment="1" applyFont="1" applyNumberFormat="1">
      <alignment shrinkToFit="0" vertical="center" wrapText="1"/>
    </xf>
    <xf borderId="0" fillId="5" fontId="6" numFmtId="2" xfId="0" applyAlignment="1" applyFont="1" applyNumberFormat="1">
      <alignment shrinkToFit="0" vertical="center" wrapText="1"/>
    </xf>
    <xf borderId="2" fillId="7" fontId="7" numFmtId="10" xfId="0" applyAlignment="1" applyBorder="1" applyFont="1" applyNumberFormat="1">
      <alignment shrinkToFit="0" wrapText="1"/>
    </xf>
    <xf borderId="8" fillId="5" fontId="6" numFmtId="0" xfId="0" applyAlignment="1" applyBorder="1" applyFont="1">
      <alignment shrinkToFit="0" vertical="center" wrapText="1"/>
    </xf>
    <xf borderId="2" fillId="8" fontId="7" numFmtId="0" xfId="0" applyAlignment="1" applyBorder="1" applyFill="1" applyFont="1">
      <alignment shrinkToFit="0" wrapText="1"/>
    </xf>
    <xf borderId="3" fillId="7" fontId="7" numFmtId="0" xfId="0" applyAlignment="1" applyBorder="1" applyFont="1">
      <alignment shrinkToFit="0" wrapText="1"/>
    </xf>
    <xf borderId="0" fillId="0" fontId="8" numFmtId="0" xfId="0" applyFont="1"/>
    <xf borderId="9" fillId="5" fontId="6" numFmtId="0" xfId="0" applyAlignment="1" applyBorder="1" applyFont="1">
      <alignment shrinkToFit="0" vertical="center" wrapText="1"/>
    </xf>
    <xf borderId="10" fillId="5" fontId="6" numFmtId="0" xfId="0" applyAlignment="1" applyBorder="1" applyFont="1">
      <alignment shrinkToFit="0" vertical="center" wrapText="1"/>
    </xf>
    <xf borderId="10" fillId="5" fontId="6" numFmtId="164" xfId="0" applyAlignment="1" applyBorder="1" applyFont="1" applyNumberFormat="1">
      <alignment shrinkToFit="0" vertical="center" wrapText="1"/>
    </xf>
    <xf borderId="10" fillId="5" fontId="6" numFmtId="2" xfId="0" applyAlignment="1" applyBorder="1" applyFont="1" applyNumberFormat="1">
      <alignment shrinkToFit="0" vertical="center" wrapText="1"/>
    </xf>
    <xf borderId="10" fillId="5" fontId="6" numFmtId="1" xfId="0" applyAlignment="1" applyBorder="1" applyFont="1" applyNumberFormat="1">
      <alignment shrinkToFit="0" vertical="center" wrapText="1"/>
    </xf>
    <xf borderId="11" fillId="5" fontId="6" numFmtId="0" xfId="0" applyAlignment="1" applyBorder="1" applyFont="1">
      <alignment shrinkToFit="0" vertical="center" wrapText="1"/>
    </xf>
    <xf borderId="1" fillId="5" fontId="6" numFmtId="0" xfId="0" applyAlignment="1" applyBorder="1" applyFont="1">
      <alignment shrinkToFit="0" vertical="center" wrapText="1"/>
    </xf>
    <xf borderId="2" fillId="5" fontId="6" numFmtId="0" xfId="0" applyAlignment="1" applyBorder="1" applyFont="1">
      <alignment shrinkToFit="0" vertical="center" wrapText="1"/>
    </xf>
    <xf borderId="2" fillId="5" fontId="6" numFmtId="1" xfId="0" applyAlignment="1" applyBorder="1" applyFont="1" applyNumberFormat="1">
      <alignment shrinkToFit="0" vertical="center" wrapText="1"/>
    </xf>
    <xf borderId="2" fillId="5" fontId="6" numFmtId="2" xfId="0" applyAlignment="1" applyBorder="1" applyFont="1" applyNumberFormat="1">
      <alignment shrinkToFit="0" vertical="center" wrapText="1"/>
    </xf>
    <xf borderId="3" fillId="5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wrapText="1"/>
    </xf>
    <xf borderId="2" fillId="0" fontId="7" numFmtId="2" xfId="0" applyAlignment="1" applyBorder="1" applyFont="1" applyNumberFormat="1">
      <alignment shrinkToFit="0" wrapText="1"/>
    </xf>
    <xf borderId="2" fillId="0" fontId="7" numFmtId="1" xfId="0" applyAlignment="1" applyBorder="1" applyFont="1" applyNumberFormat="1">
      <alignment shrinkToFit="0" wrapText="1"/>
    </xf>
    <xf borderId="2" fillId="0" fontId="7" numFmtId="164" xfId="0" applyAlignment="1" applyBorder="1" applyFont="1" applyNumberFormat="1">
      <alignment shrinkToFit="0" wrapText="1"/>
    </xf>
    <xf borderId="3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0" fillId="7" fontId="9" numFmtId="0" xfId="0" applyFont="1"/>
    <xf borderId="0" fillId="7" fontId="9" numFmtId="164" xfId="0" applyFont="1" applyNumberFormat="1"/>
    <xf borderId="2" fillId="0" fontId="7" numFmtId="10" xfId="0" applyAlignment="1" applyBorder="1" applyFont="1" applyNumberFormat="1">
      <alignment shrinkToFit="0" wrapText="1"/>
    </xf>
    <xf borderId="0" fillId="7" fontId="9" numFmtId="10" xfId="0" applyFont="1" applyNumberFormat="1"/>
    <xf borderId="2" fillId="9" fontId="7" numFmtId="164" xfId="0" applyAlignment="1" applyBorder="1" applyFill="1" applyFont="1" applyNumberFormat="1">
      <alignment readingOrder="0" shrinkToFit="0" wrapText="1"/>
    </xf>
    <xf borderId="0" fillId="0" fontId="10" numFmtId="1" xfId="0" applyFont="1" applyNumberFormat="1"/>
    <xf borderId="0" fillId="0" fontId="10" numFmtId="2" xfId="0" applyFont="1" applyNumberFormat="1"/>
    <xf borderId="2" fillId="10" fontId="7" numFmtId="0" xfId="0" applyAlignment="1" applyBorder="1" applyFill="1" applyFont="1">
      <alignment shrinkToFit="0" wrapText="1"/>
    </xf>
    <xf borderId="5" fillId="5" fontId="6" numFmtId="2" xfId="0" applyAlignment="1" applyBorder="1" applyFont="1" applyNumberFormat="1">
      <alignment readingOrder="0" shrinkToFit="0" vertical="center" wrapText="1"/>
    </xf>
    <xf borderId="1" fillId="7" fontId="7" numFmtId="0" xfId="0" applyAlignment="1" applyBorder="1" applyFont="1">
      <alignment shrinkToFit="0" wrapText="1"/>
    </xf>
    <xf borderId="2" fillId="7" fontId="7" numFmtId="164" xfId="0" applyAlignment="1" applyBorder="1" applyFont="1" applyNumberFormat="1">
      <alignment readingOrder="0" shrinkToFit="0" wrapText="1"/>
    </xf>
    <xf borderId="2" fillId="9" fontId="7" numFmtId="0" xfId="0" applyAlignment="1" applyBorder="1" applyFont="1">
      <alignment shrinkToFit="0" wrapText="1"/>
    </xf>
    <xf borderId="0" fillId="6" fontId="9" numFmtId="0" xfId="0" applyAlignment="1" applyFont="1">
      <alignment shrinkToFit="0" wrapText="1"/>
    </xf>
    <xf borderId="0" fillId="7" fontId="9" numFmtId="164" xfId="0" applyAlignment="1" applyFont="1" applyNumberFormat="1">
      <alignment shrinkToFit="0" wrapText="1"/>
    </xf>
    <xf borderId="0" fillId="7" fontId="9" numFmtId="10" xfId="0" applyAlignment="1" applyFont="1" applyNumberFormat="1">
      <alignment shrinkToFit="0" wrapText="1"/>
    </xf>
    <xf borderId="0" fillId="9" fontId="9" numFmtId="0" xfId="0" applyAlignment="1" applyFont="1">
      <alignment shrinkToFit="0" wrapText="1"/>
    </xf>
    <xf borderId="0" fillId="7" fontId="9" numFmtId="0" xfId="0" applyAlignment="1" applyFont="1">
      <alignment shrinkToFit="0" wrapText="1"/>
    </xf>
    <xf borderId="1" fillId="6" fontId="9" numFmtId="0" xfId="0" applyAlignment="1" applyBorder="1" applyFont="1">
      <alignment shrinkToFit="0" wrapText="1"/>
    </xf>
    <xf borderId="2" fillId="7" fontId="9" numFmtId="164" xfId="0" applyAlignment="1" applyBorder="1" applyFont="1" applyNumberFormat="1">
      <alignment shrinkToFit="0" wrapText="1"/>
    </xf>
    <xf borderId="2" fillId="7" fontId="9" numFmtId="10" xfId="0" applyAlignment="1" applyBorder="1" applyFont="1" applyNumberFormat="1">
      <alignment shrinkToFit="0" wrapText="1"/>
    </xf>
    <xf borderId="2" fillId="9" fontId="9" numFmtId="0" xfId="0" applyAlignment="1" applyBorder="1" applyFont="1">
      <alignment shrinkToFit="0" wrapText="1"/>
    </xf>
    <xf borderId="3" fillId="7" fontId="9" numFmtId="0" xfId="0" applyAlignment="1" applyBorder="1" applyFont="1">
      <alignment shrinkToFit="0" wrapText="1"/>
    </xf>
    <xf borderId="2" fillId="7" fontId="7" numFmtId="0" xfId="0" applyAlignment="1" applyBorder="1" applyFont="1">
      <alignment shrinkToFit="0" wrapText="1"/>
    </xf>
    <xf borderId="1" fillId="4" fontId="11" numFmtId="0" xfId="0" applyAlignment="1" applyBorder="1" applyFont="1">
      <alignment shrinkToFit="0" wrapText="1"/>
    </xf>
    <xf borderId="2" fillId="9" fontId="7" numFmtId="164" xfId="0" applyAlignment="1" applyBorder="1" applyFont="1" applyNumberFormat="1">
      <alignment shrinkToFit="0" wrapText="1"/>
    </xf>
    <xf borderId="2" fillId="4" fontId="11" numFmtId="164" xfId="0" applyAlignment="1" applyBorder="1" applyFont="1" applyNumberFormat="1">
      <alignment shrinkToFit="0" wrapText="1"/>
    </xf>
    <xf borderId="2" fillId="4" fontId="11" numFmtId="10" xfId="0" applyAlignment="1" applyBorder="1" applyFont="1" applyNumberFormat="1">
      <alignment shrinkToFit="0" wrapText="1"/>
    </xf>
    <xf borderId="2" fillId="4" fontId="11" numFmtId="0" xfId="0" applyAlignment="1" applyBorder="1" applyFont="1">
      <alignment shrinkToFit="0" wrapText="1"/>
    </xf>
    <xf borderId="3" fillId="4" fontId="11" numFmtId="0" xfId="0" applyAlignment="1" applyBorder="1" applyFont="1">
      <alignment shrinkToFit="0" wrapText="1"/>
    </xf>
    <xf borderId="0" fillId="10" fontId="9" numFmtId="0" xfId="0" applyAlignment="1" applyFont="1">
      <alignment shrinkToFit="0" wrapText="1"/>
    </xf>
    <xf borderId="4" fillId="5" fontId="6" numFmtId="0" xfId="0" applyAlignment="1" applyBorder="1" applyFont="1">
      <alignment readingOrder="0" shrinkToFit="0" vertical="center" wrapText="1"/>
    </xf>
    <xf borderId="1" fillId="7" fontId="9" numFmtId="0" xfId="0" applyAlignment="1" applyBorder="1" applyFont="1">
      <alignment shrinkToFit="0" wrapText="1"/>
    </xf>
    <xf borderId="7" fillId="5" fontId="6" numFmtId="0" xfId="0" applyAlignment="1" applyBorder="1" applyFont="1">
      <alignment readingOrder="0" shrinkToFit="0" vertical="center" wrapText="1"/>
    </xf>
    <xf borderId="2" fillId="10" fontId="9" numFmtId="0" xfId="0" applyAlignment="1" applyBorder="1" applyFont="1">
      <alignment shrinkToFit="0" wrapText="1"/>
    </xf>
    <xf borderId="0" fillId="5" fontId="6" numFmtId="2" xfId="0" applyAlignment="1" applyFont="1" applyNumberFormat="1">
      <alignment readingOrder="0" shrinkToFit="0" vertical="center" wrapText="1"/>
    </xf>
    <xf borderId="0" fillId="8" fontId="9" numFmtId="0" xfId="0" applyAlignment="1" applyFont="1">
      <alignment shrinkToFit="0" wrapText="1"/>
    </xf>
    <xf borderId="2" fillId="8" fontId="9" numFmtId="0" xfId="0" applyAlignment="1" applyBorder="1" applyFont="1">
      <alignment shrinkToFit="0" wrapText="1"/>
    </xf>
    <xf borderId="2" fillId="7" fontId="9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2" fillId="3" fontId="5" numFmtId="2" xfId="0" applyAlignment="1" applyBorder="1" applyFont="1" applyNumberFormat="1">
      <alignment horizontal="center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2" fillId="5" fontId="6" numFmtId="164" xfId="0" applyAlignment="1" applyBorder="1" applyFont="1" applyNumberFormat="1">
      <alignment shrinkToFit="0" vertical="center" wrapText="1"/>
    </xf>
    <xf borderId="1" fillId="7" fontId="7" numFmtId="0" xfId="0" applyAlignment="1" applyBorder="1" applyFont="1">
      <alignment shrinkToFit="0" vertical="center" wrapText="1"/>
    </xf>
    <xf borderId="2" fillId="7" fontId="7" numFmtId="0" xfId="0" applyAlignment="1" applyBorder="1" applyFont="1">
      <alignment shrinkToFit="0" vertical="center" wrapText="1"/>
    </xf>
    <xf borderId="2" fillId="7" fontId="7" numFmtId="2" xfId="0" applyAlignment="1" applyBorder="1" applyFont="1" applyNumberFormat="1">
      <alignment shrinkToFit="0" vertical="center" wrapText="1"/>
    </xf>
    <xf borderId="2" fillId="7" fontId="7" numFmtId="164" xfId="0" applyAlignment="1" applyBorder="1" applyFont="1" applyNumberFormat="1">
      <alignment shrinkToFit="0" vertical="center" wrapText="1"/>
    </xf>
    <xf borderId="3" fillId="7" fontId="7" numFmtId="0" xfId="0" applyAlignment="1" applyBorder="1" applyFont="1">
      <alignment shrinkToFit="0" vertical="center" wrapText="1"/>
    </xf>
    <xf borderId="2" fillId="7" fontId="7" numFmtId="10" xfId="0" applyAlignment="1" applyBorder="1" applyFont="1" applyNumberFormat="1">
      <alignment shrinkToFit="0" vertical="center" wrapText="1"/>
    </xf>
    <xf borderId="2" fillId="9" fontId="7" numFmtId="164" xfId="0" applyAlignment="1" applyBorder="1" applyFont="1" applyNumberFormat="1">
      <alignment readingOrder="0" shrinkToFit="0" vertical="center" wrapText="1"/>
    </xf>
    <xf borderId="0" fillId="0" fontId="12" numFmtId="0" xfId="0" applyAlignment="1" applyFont="1">
      <alignment horizontal="center" shrinkToFit="0" vertical="center" wrapText="0"/>
    </xf>
    <xf borderId="0" fillId="3" fontId="12" numFmtId="0" xfId="0" applyAlignment="1" applyFont="1">
      <alignment horizontal="center" shrinkToFit="0" vertical="center" wrapText="0"/>
    </xf>
    <xf borderId="0" fillId="5" fontId="13" numFmtId="0" xfId="0" applyAlignment="1" applyFont="1">
      <alignment shrinkToFit="0" vertical="center" wrapText="1"/>
    </xf>
    <xf borderId="0" fillId="5" fontId="13" numFmtId="164" xfId="0" applyAlignment="1" applyFont="1" applyNumberFormat="1">
      <alignment shrinkToFit="0" vertical="center" wrapText="1"/>
    </xf>
    <xf borderId="0" fillId="7" fontId="14" numFmtId="0" xfId="0" applyAlignment="1" applyFont="1">
      <alignment shrinkToFit="0" vertical="center" wrapText="1"/>
    </xf>
    <xf borderId="0" fillId="7" fontId="14" numFmtId="164" xfId="0" applyAlignment="1" applyFont="1" applyNumberFormat="1">
      <alignment shrinkToFit="0" vertical="center" wrapText="1"/>
    </xf>
    <xf borderId="0" fillId="7" fontId="14" numFmtId="10" xfId="0" applyAlignment="1" applyFont="1" applyNumberFormat="1">
      <alignment shrinkToFit="0" vertical="center" wrapText="1"/>
    </xf>
    <xf borderId="0" fillId="9" fontId="14" numFmtId="164" xfId="0" applyAlignment="1" applyFont="1" applyNumberFormat="1">
      <alignment readingOrder="0" shrinkToFit="0" vertical="center" wrapText="1"/>
    </xf>
    <xf borderId="0" fillId="7" fontId="14" numFmtId="164" xfId="0" applyAlignment="1" applyFont="1" applyNumberFormat="1">
      <alignment shrinkToFit="0" wrapText="1"/>
    </xf>
    <xf borderId="0" fillId="7" fontId="14" numFmtId="10" xfId="0" applyAlignment="1" applyFont="1" applyNumberFormat="1">
      <alignment shrinkToFit="0" wrapText="1"/>
    </xf>
    <xf borderId="0" fillId="10" fontId="14" numFmtId="0" xfId="0" applyAlignment="1" applyFont="1">
      <alignment shrinkToFit="0" wrapText="1"/>
    </xf>
    <xf borderId="0" fillId="7" fontId="14" numFmtId="0" xfId="0" applyAlignment="1" applyFont="1">
      <alignment shrinkToFit="0" wrapText="1"/>
    </xf>
    <xf borderId="3" fillId="4" fontId="5" numFmtId="10" xfId="0" applyAlignment="1" applyBorder="1" applyFont="1" applyNumberFormat="1">
      <alignment shrinkToFit="0" wrapText="1"/>
    </xf>
    <xf borderId="12" fillId="4" fontId="5" numFmtId="0" xfId="0" applyAlignment="1" applyBorder="1" applyFont="1">
      <alignment shrinkToFit="0" wrapText="1"/>
    </xf>
    <xf borderId="3" fillId="7" fontId="9" numFmtId="10" xfId="0" applyAlignment="1" applyBorder="1" applyFont="1" applyNumberFormat="1">
      <alignment shrinkToFit="0" wrapText="1"/>
    </xf>
    <xf borderId="13" fillId="10" fontId="9" numFmtId="0" xfId="0" applyAlignment="1" applyBorder="1" applyFont="1">
      <alignment shrinkToFit="0" wrapText="1"/>
    </xf>
    <xf borderId="12" fillId="7" fontId="9" numFmtId="0" xfId="0" applyAlignment="1" applyBorder="1" applyFont="1">
      <alignment shrinkToFit="0" wrapText="1"/>
    </xf>
    <xf borderId="14" fillId="10" fontId="9" numFmtId="0" xfId="0" applyAlignment="1" applyBorder="1" applyFont="1">
      <alignment shrinkToFit="0" wrapText="1"/>
    </xf>
    <xf borderId="0" fillId="7" fontId="14" numFmtId="164" xfId="0" applyAlignment="1" applyFont="1" applyNumberFormat="1">
      <alignment readingOrder="0" shrinkToFit="0" wrapText="1"/>
    </xf>
    <xf borderId="0" fillId="8" fontId="14" numFmtId="0" xfId="0" applyAlignment="1" applyFont="1">
      <alignment shrinkToFit="0" wrapText="1"/>
    </xf>
    <xf borderId="0" fillId="4" fontId="12" numFmtId="0" xfId="0" applyAlignment="1" applyFont="1">
      <alignment shrinkToFit="0" wrapText="1"/>
    </xf>
    <xf borderId="0" fillId="4" fontId="12" numFmtId="164" xfId="0" applyAlignment="1" applyFont="1" applyNumberFormat="1">
      <alignment shrinkToFit="0" wrapText="1"/>
    </xf>
    <xf borderId="0" fillId="4" fontId="12" numFmtId="10" xfId="0" applyAlignment="1" applyFont="1" applyNumberFormat="1">
      <alignment shrinkToFit="0" wrapText="1"/>
    </xf>
    <xf borderId="0" fillId="4" fontId="12" numFmtId="0" xfId="0" applyAlignment="1" applyFont="1">
      <alignment shrinkToFit="0" wrapText="0"/>
    </xf>
    <xf borderId="0" fillId="4" fontId="12" numFmtId="164" xfId="0" applyAlignment="1" applyFont="1" applyNumberFormat="1">
      <alignment shrinkToFit="0" wrapText="0"/>
    </xf>
    <xf borderId="0" fillId="4" fontId="12" numFmtId="10" xfId="0" applyAlignment="1" applyFont="1" applyNumberFormat="1">
      <alignment shrinkToFit="0" wrapText="0"/>
    </xf>
    <xf borderId="4" fillId="0" fontId="7" numFmtId="0" xfId="0" applyAlignment="1" applyBorder="1" applyFont="1">
      <alignment shrinkToFit="0" wrapText="1"/>
    </xf>
    <xf borderId="5" fillId="0" fontId="7" numFmtId="0" xfId="0" applyAlignment="1" applyBorder="1" applyFont="1">
      <alignment shrinkToFit="0" wrapText="1"/>
    </xf>
    <xf borderId="5" fillId="9" fontId="7" numFmtId="0" xfId="0" applyAlignment="1" applyBorder="1" applyFont="1">
      <alignment shrinkToFit="0" wrapText="1"/>
    </xf>
    <xf borderId="5" fillId="9" fontId="7" numFmtId="164" xfId="0" applyAlignment="1" applyBorder="1" applyFont="1" applyNumberFormat="1">
      <alignment shrinkToFit="0" wrapText="1"/>
    </xf>
    <xf borderId="6" fillId="0" fontId="7" numFmtId="164" xfId="0" applyAlignment="1" applyBorder="1" applyFont="1" applyNumberFormat="1">
      <alignment shrinkToFit="0" wrapText="1"/>
    </xf>
    <xf borderId="7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9" fontId="7" numFmtId="0" xfId="0" applyAlignment="1" applyFont="1">
      <alignment shrinkToFit="0" wrapText="1"/>
    </xf>
    <xf borderId="0" fillId="9" fontId="7" numFmtId="164" xfId="0" applyAlignment="1" applyFont="1" applyNumberFormat="1">
      <alignment shrinkToFit="0" wrapText="1"/>
    </xf>
    <xf borderId="8" fillId="0" fontId="7" numFmtId="164" xfId="0" applyAlignment="1" applyBorder="1" applyFont="1" applyNumberFormat="1">
      <alignment shrinkToFit="0" wrapText="1"/>
    </xf>
    <xf borderId="1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1" fillId="3" fontId="15" numFmtId="0" xfId="0" applyAlignment="1" applyBorder="1" applyFont="1">
      <alignment horizontal="center" readingOrder="0" shrinkToFit="0" wrapText="0"/>
    </xf>
    <xf borderId="0" fillId="0" fontId="16" numFmtId="0" xfId="0" applyAlignment="1" applyFont="1">
      <alignment shrinkToFit="0" wrapText="1"/>
    </xf>
    <xf borderId="0" fillId="9" fontId="7" numFmtId="0" xfId="0" applyAlignment="1" applyFont="1">
      <alignment readingOrder="0" shrinkToFit="0" wrapText="1"/>
    </xf>
    <xf borderId="2" fillId="3" fontId="15" numFmtId="0" xfId="0" applyAlignment="1" applyBorder="1" applyFont="1">
      <alignment horizontal="center" readingOrder="0" shrinkToFit="0" wrapText="0"/>
    </xf>
    <xf borderId="1" fillId="11" fontId="5" numFmtId="0" xfId="0" applyAlignment="1" applyBorder="1" applyFill="1" applyFont="1">
      <alignment shrinkToFit="0" wrapText="1"/>
    </xf>
    <xf borderId="3" fillId="3" fontId="15" numFmtId="0" xfId="0" applyAlignment="1" applyBorder="1" applyFont="1">
      <alignment horizontal="center" readingOrder="0" shrinkToFit="0" wrapText="0"/>
    </xf>
    <xf borderId="7" fillId="5" fontId="17" numFmtId="0" xfId="0" applyAlignment="1" applyBorder="1" applyFont="1">
      <alignment readingOrder="0"/>
    </xf>
    <xf borderId="0" fillId="5" fontId="17" numFmtId="0" xfId="0" applyAlignment="1" applyFont="1">
      <alignment horizontal="center" readingOrder="0"/>
    </xf>
    <xf borderId="2" fillId="11" fontId="5" numFmtId="164" xfId="0" applyAlignment="1" applyBorder="1" applyFont="1" applyNumberFormat="1">
      <alignment shrinkToFit="0" wrapText="1"/>
    </xf>
    <xf borderId="2" fillId="11" fontId="5" numFmtId="0" xfId="0" applyAlignment="1" applyBorder="1" applyFont="1">
      <alignment shrinkToFit="0" wrapText="1"/>
    </xf>
    <xf borderId="5" fillId="5" fontId="9" numFmtId="164" xfId="0" applyAlignment="1" applyBorder="1" applyFont="1" applyNumberFormat="1">
      <alignment shrinkToFit="0" vertical="center" wrapText="1"/>
    </xf>
    <xf borderId="2" fillId="9" fontId="5" numFmtId="0" xfId="0" applyAlignment="1" applyBorder="1" applyFont="1">
      <alignment shrinkToFit="0" wrapText="1"/>
    </xf>
    <xf borderId="3" fillId="9" fontId="5" numFmtId="0" xfId="0" applyAlignment="1" applyBorder="1" applyFont="1">
      <alignment shrinkToFit="0" wrapText="1"/>
    </xf>
    <xf borderId="1" fillId="9" fontId="5" numFmtId="0" xfId="0" applyAlignment="1" applyBorder="1" applyFont="1">
      <alignment shrinkToFit="0" wrapText="1"/>
    </xf>
    <xf borderId="0" fillId="5" fontId="18" numFmtId="0" xfId="0" applyAlignment="1" applyFont="1">
      <alignment horizontal="left"/>
    </xf>
    <xf borderId="8" fillId="5" fontId="18" numFmtId="0" xfId="0" applyAlignment="1" applyBorder="1" applyFont="1">
      <alignment horizontal="left"/>
    </xf>
    <xf borderId="7" fillId="5" fontId="18" numFmtId="0" xfId="0" applyBorder="1" applyFont="1"/>
    <xf borderId="0" fillId="5" fontId="18" numFmtId="0" xfId="0" applyAlignment="1" applyFont="1">
      <alignment horizontal="center"/>
    </xf>
    <xf borderId="9" fillId="5" fontId="18" numFmtId="0" xfId="0" applyAlignment="1" applyBorder="1" applyFont="1">
      <alignment readingOrder="0"/>
    </xf>
    <xf borderId="10" fillId="5" fontId="18" numFmtId="0" xfId="0" applyAlignment="1" applyBorder="1" applyFont="1">
      <alignment horizontal="center"/>
    </xf>
    <xf borderId="10" fillId="5" fontId="18" numFmtId="0" xfId="0" applyAlignment="1" applyBorder="1" applyFont="1">
      <alignment horizontal="center" readingOrder="0"/>
    </xf>
    <xf borderId="10" fillId="5" fontId="18" numFmtId="0" xfId="0" applyAlignment="1" applyBorder="1" applyFont="1">
      <alignment horizontal="left"/>
    </xf>
    <xf borderId="11" fillId="5" fontId="18" numFmtId="0" xfId="0" applyAlignment="1" applyBorder="1" applyFont="1">
      <alignment horizontal="left"/>
    </xf>
    <xf borderId="7" fillId="0" fontId="17" numFmtId="0" xfId="0" applyAlignment="1" applyBorder="1" applyFont="1">
      <alignment readingOrder="0"/>
    </xf>
    <xf borderId="0" fillId="0" fontId="17" numFmtId="0" xfId="0" applyFont="1"/>
    <xf borderId="0" fillId="0" fontId="17" numFmtId="0" xfId="0" applyAlignment="1" applyFont="1">
      <alignment horizontal="right" readingOrder="0"/>
    </xf>
    <xf borderId="0" fillId="0" fontId="17" numFmtId="0" xfId="0" applyAlignment="1" applyFont="1">
      <alignment readingOrder="0"/>
    </xf>
    <xf borderId="8" fillId="0" fontId="17" numFmtId="0" xfId="0" applyBorder="1" applyFont="1"/>
    <xf borderId="9" fillId="0" fontId="17" numFmtId="0" xfId="0" applyAlignment="1" applyBorder="1" applyFont="1">
      <alignment readingOrder="0"/>
    </xf>
    <xf borderId="10" fillId="0" fontId="17" numFmtId="0" xfId="0" applyBorder="1" applyFont="1"/>
    <xf borderId="10" fillId="9" fontId="17" numFmtId="0" xfId="0" applyBorder="1" applyFont="1"/>
    <xf borderId="4" fillId="5" fontId="6" numFmtId="0" xfId="0" applyAlignment="1" applyBorder="1" applyFont="1">
      <alignment shrinkToFit="0" wrapText="1"/>
    </xf>
    <xf borderId="11" fillId="0" fontId="17" numFmtId="0" xfId="0" applyBorder="1" applyFont="1"/>
    <xf borderId="0" fillId="0" fontId="19" numFmtId="0" xfId="0" applyAlignment="1" applyFont="1">
      <alignment vertical="bottom"/>
    </xf>
    <xf borderId="5" fillId="5" fontId="6" numFmtId="0" xfId="0" applyAlignment="1" applyBorder="1" applyFont="1">
      <alignment shrinkToFit="0" wrapText="1"/>
    </xf>
    <xf borderId="5" fillId="5" fontId="6" numFmtId="164" xfId="0" applyAlignment="1" applyBorder="1" applyFont="1" applyNumberFormat="1">
      <alignment shrinkToFit="0" wrapText="1"/>
    </xf>
    <xf borderId="7" fillId="5" fontId="18" numFmtId="0" xfId="0" applyAlignment="1" applyBorder="1" applyFont="1">
      <alignment readingOrder="0"/>
    </xf>
    <xf borderId="0" fillId="5" fontId="18" numFmtId="0" xfId="0" applyAlignment="1" applyFont="1">
      <alignment horizontal="center" readingOrder="0"/>
    </xf>
    <xf borderId="2" fillId="9" fontId="5" numFmtId="164" xfId="0" applyAlignment="1" applyBorder="1" applyFont="1" applyNumberFormat="1">
      <alignment shrinkToFit="0" wrapText="1"/>
    </xf>
    <xf borderId="6" fillId="5" fontId="6" numFmtId="0" xfId="0" applyAlignment="1" applyBorder="1" applyFont="1">
      <alignment shrinkToFit="0" wrapText="1"/>
    </xf>
    <xf borderId="7" fillId="5" fontId="6" numFmtId="0" xfId="0" applyAlignment="1" applyBorder="1" applyFont="1">
      <alignment shrinkToFit="0" wrapText="1"/>
    </xf>
    <xf borderId="0" fillId="5" fontId="6" numFmtId="0" xfId="0" applyAlignment="1" applyFont="1">
      <alignment shrinkToFit="0" wrapText="1"/>
    </xf>
    <xf borderId="0" fillId="5" fontId="17" numFmtId="165" xfId="0" applyAlignment="1" applyFont="1" applyNumberFormat="1">
      <alignment horizontal="center" readingOrder="0"/>
    </xf>
    <xf borderId="0" fillId="5" fontId="6" numFmtId="164" xfId="0" applyAlignment="1" applyFont="1" applyNumberFormat="1">
      <alignment shrinkToFit="0" wrapText="1"/>
    </xf>
    <xf borderId="8" fillId="5" fontId="6" numFmtId="0" xfId="0" applyAlignment="1" applyBorder="1" applyFont="1">
      <alignment shrinkToFit="0" wrapText="1"/>
    </xf>
    <xf borderId="9" fillId="5" fontId="6" numFmtId="0" xfId="0" applyAlignment="1" applyBorder="1" applyFont="1">
      <alignment shrinkToFit="0" wrapText="1"/>
    </xf>
    <xf borderId="10" fillId="5" fontId="6" numFmtId="0" xfId="0" applyAlignment="1" applyBorder="1" applyFont="1">
      <alignment shrinkToFit="0" wrapText="1"/>
    </xf>
    <xf borderId="10" fillId="5" fontId="6" numFmtId="164" xfId="0" applyAlignment="1" applyBorder="1" applyFont="1" applyNumberFormat="1">
      <alignment shrinkToFit="0" wrapText="1"/>
    </xf>
    <xf borderId="11" fillId="5" fontId="6" numFmtId="0" xfId="0" applyAlignment="1" applyBorder="1" applyFont="1">
      <alignment shrinkToFit="0" wrapText="1"/>
    </xf>
    <xf borderId="0" fillId="5" fontId="18" numFmtId="165" xfId="0" applyAlignment="1" applyFont="1" applyNumberFormat="1">
      <alignment horizontal="center"/>
    </xf>
    <xf borderId="4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0" fillId="0" fontId="17" numFmtId="165" xfId="0" applyAlignment="1" applyFont="1" applyNumberFormat="1">
      <alignment horizontal="right" readingOrder="0"/>
    </xf>
    <xf borderId="5" fillId="0" fontId="6" numFmtId="164" xfId="0" applyAlignment="1" applyBorder="1" applyFont="1" applyNumberFormat="1">
      <alignment shrinkToFit="0" wrapText="1"/>
    </xf>
    <xf borderId="6" fillId="0" fontId="6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164" xfId="0" applyAlignment="1" applyFont="1" applyNumberFormat="1">
      <alignment shrinkToFit="0" wrapText="1"/>
    </xf>
    <xf borderId="8" fillId="0" fontId="6" numFmtId="0" xfId="0" applyAlignment="1" applyBorder="1" applyFont="1">
      <alignment shrinkToFit="0" wrapText="1"/>
    </xf>
    <xf borderId="0" fillId="0" fontId="17" numFmtId="10" xfId="0" applyAlignment="1" applyFont="1" applyNumberFormat="1">
      <alignment horizontal="right" readingOrder="0"/>
    </xf>
    <xf borderId="10" fillId="9" fontId="17" numFmtId="165" xfId="0" applyAlignment="1" applyBorder="1" applyFont="1" applyNumberFormat="1">
      <alignment readingOrder="0"/>
    </xf>
    <xf borderId="0" fillId="0" fontId="6" numFmtId="10" xfId="0" applyAlignment="1" applyFont="1" applyNumberFormat="1">
      <alignment shrinkToFit="0" wrapText="1"/>
    </xf>
    <xf borderId="9" fillId="0" fontId="6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wrapText="1"/>
    </xf>
    <xf borderId="10" fillId="9" fontId="6" numFmtId="164" xfId="0" applyAlignment="1" applyBorder="1" applyFont="1" applyNumberFormat="1">
      <alignment shrinkToFit="0" wrapText="1"/>
    </xf>
    <xf borderId="11" fillId="0" fontId="6" numFmtId="0" xfId="0" applyAlignment="1" applyBorder="1" applyFont="1">
      <alignment shrinkToFit="0" wrapText="1"/>
    </xf>
    <xf borderId="0" fillId="5" fontId="18" numFmtId="165" xfId="0" applyAlignment="1" applyFont="1" applyNumberFormat="1">
      <alignment horizontal="center" readingOrder="0"/>
    </xf>
    <xf borderId="0" fillId="0" fontId="19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shrinkToFit="0" wrapText="1"/>
    </xf>
    <xf borderId="9" fillId="0" fontId="7" numFmtId="0" xfId="0" applyAlignment="1" applyBorder="1" applyFont="1">
      <alignment shrinkToFit="0" wrapText="1"/>
    </xf>
    <xf borderId="10" fillId="0" fontId="7" numFmtId="0" xfId="0" applyAlignment="1" applyBorder="1" applyFont="1">
      <alignment shrinkToFit="0" wrapText="1"/>
    </xf>
    <xf borderId="10" fillId="0" fontId="7" numFmtId="164" xfId="0" applyAlignment="1" applyBorder="1" applyFont="1" applyNumberFormat="1">
      <alignment shrinkToFit="0" wrapText="1"/>
    </xf>
    <xf borderId="11" fillId="0" fontId="7" numFmtId="164" xfId="0" applyAlignment="1" applyBorder="1" applyFont="1" applyNumberFormat="1">
      <alignment shrinkToFit="0" wrapText="1"/>
    </xf>
    <xf borderId="0" fillId="0" fontId="20" numFmtId="0" xfId="0" applyFont="1"/>
    <xf borderId="0" fillId="0" fontId="20" numFmtId="164" xfId="0" applyFont="1" applyNumberFormat="1"/>
    <xf borderId="2" fillId="9" fontId="5" numFmtId="1" xfId="0" applyAlignment="1" applyBorder="1" applyFont="1" applyNumberFormat="1">
      <alignment shrinkToFit="0" wrapText="1"/>
    </xf>
    <xf borderId="3" fillId="9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4" width="18.0"/>
    <col customWidth="1" min="5" max="5" width="22.0"/>
    <col customWidth="1" min="6" max="6" width="62.0"/>
    <col customWidth="1" min="7" max="15" width="8.63"/>
  </cols>
  <sheetData>
    <row r="1">
      <c r="A1" s="1" t="s">
        <v>0</v>
      </c>
      <c r="B1" s="2"/>
      <c r="C1" s="2"/>
      <c r="D1" s="2"/>
      <c r="E1" s="2"/>
      <c r="F1" s="3"/>
    </row>
    <row r="2" ht="14.25" customHeight="1">
      <c r="A2" s="5" t="s">
        <v>7</v>
      </c>
      <c r="B2" s="7" t="s">
        <v>9</v>
      </c>
      <c r="C2" s="7" t="s">
        <v>11</v>
      </c>
      <c r="D2" s="7">
        <f t="shared" ref="D2:D9" si="2">IFERROR(B2/C2,0)</f>
        <v>0</v>
      </c>
      <c r="E2" s="7" t="s">
        <v>14</v>
      </c>
      <c r="F2" s="9" t="s">
        <v>15</v>
      </c>
    </row>
    <row r="3" ht="14.25" customHeight="1">
      <c r="A3" s="12" t="s">
        <v>2</v>
      </c>
      <c r="B3" s="16">
        <f t="shared" ref="B3:C3" si="1">IFERROR(AVERAGE(B4:B9),0)</f>
        <v>8334.495984</v>
      </c>
      <c r="C3" s="16">
        <f t="shared" si="1"/>
        <v>21666.66667</v>
      </c>
      <c r="D3" s="18">
        <f t="shared" si="2"/>
        <v>0.3846690454</v>
      </c>
      <c r="E3" s="20"/>
      <c r="F3" s="22"/>
    </row>
    <row r="4" ht="14.25" customHeight="1">
      <c r="A4" s="23" t="s">
        <v>5</v>
      </c>
      <c r="B4" s="27">
        <f>'Yakitori Stall'!E15</f>
        <v>8712.228489</v>
      </c>
      <c r="C4" s="27">
        <f>'Yakitori Stall'!E18</f>
        <v>20000</v>
      </c>
      <c r="D4" s="31">
        <f t="shared" si="2"/>
        <v>0.4356114244</v>
      </c>
      <c r="E4" s="33" t="s">
        <v>33</v>
      </c>
      <c r="F4" s="34" t="s">
        <v>37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4.25" customHeight="1">
      <c r="A5" s="23" t="s">
        <v>40</v>
      </c>
      <c r="B5" s="27">
        <f>'Yakitori Stall'!E33</f>
        <v>10772.12664</v>
      </c>
      <c r="C5" s="27">
        <f>'Yakitori Stall'!E36</f>
        <v>25000</v>
      </c>
      <c r="D5" s="31">
        <f t="shared" si="2"/>
        <v>0.4308850658</v>
      </c>
      <c r="E5" s="33" t="s">
        <v>33</v>
      </c>
      <c r="F5" s="34" t="s">
        <v>48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4.25" customHeight="1">
      <c r="A6" s="23" t="s">
        <v>52</v>
      </c>
      <c r="B6" s="27">
        <f>'Yakitori Stall'!E51</f>
        <v>5733.728489</v>
      </c>
      <c r="C6" s="27">
        <f>'Yakitori Stall'!E54</f>
        <v>15000</v>
      </c>
      <c r="D6" s="31">
        <f t="shared" si="2"/>
        <v>0.3822485659</v>
      </c>
      <c r="E6" s="33" t="s">
        <v>33</v>
      </c>
      <c r="F6" s="34" t="s">
        <v>56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4.25" customHeight="1">
      <c r="A7" s="23" t="s">
        <v>60</v>
      </c>
      <c r="B7" s="27">
        <f>'Yakitori Stall'!E69</f>
        <v>7362.895155</v>
      </c>
      <c r="C7" s="27">
        <f>'Yakitori Stall'!E72</f>
        <v>20000</v>
      </c>
      <c r="D7" s="31">
        <f t="shared" si="2"/>
        <v>0.3681447578</v>
      </c>
      <c r="E7" s="33" t="s">
        <v>33</v>
      </c>
      <c r="F7" s="34" t="s">
        <v>61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4.25" customHeight="1">
      <c r="A8" s="23" t="s">
        <v>63</v>
      </c>
      <c r="B8" s="27">
        <f>'Yakitori Stall'!E87</f>
        <v>8666.228489</v>
      </c>
      <c r="C8" s="27">
        <f>'Yakitori Stall'!E90</f>
        <v>25000</v>
      </c>
      <c r="D8" s="31">
        <f t="shared" si="2"/>
        <v>0.3466491395</v>
      </c>
      <c r="E8" s="33" t="s">
        <v>33</v>
      </c>
      <c r="F8" s="34" t="s">
        <v>65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4.25" customHeight="1">
      <c r="A9" s="23" t="s">
        <v>68</v>
      </c>
      <c r="B9" s="27">
        <f>'Yakitori Stall'!E105</f>
        <v>8759.768637</v>
      </c>
      <c r="C9" s="27">
        <f>'Yakitori Stall'!E108</f>
        <v>25000</v>
      </c>
      <c r="D9" s="31">
        <f t="shared" si="2"/>
        <v>0.3503907455</v>
      </c>
      <c r="E9" s="33" t="s">
        <v>33</v>
      </c>
      <c r="F9" s="34" t="s">
        <v>72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4.25" customHeight="1">
      <c r="A10" s="54"/>
      <c r="B10" s="55"/>
      <c r="C10" s="55"/>
      <c r="D10" s="57"/>
      <c r="E10" s="54"/>
      <c r="F10" s="54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4.25" customHeight="1">
      <c r="A11" s="12" t="s">
        <v>3</v>
      </c>
      <c r="B11" s="16">
        <f t="shared" ref="B11:C11" si="3">IFERROR(AVERAGE(B12:B16),0)</f>
        <v>7552.429444</v>
      </c>
      <c r="C11" s="16">
        <f t="shared" si="3"/>
        <v>61000</v>
      </c>
      <c r="D11" s="18">
        <f t="shared" ref="D11:D16" si="4">IFERROR(B11/C11,0)</f>
        <v>0.1238103188</v>
      </c>
      <c r="E11" s="20"/>
      <c r="F11" s="22"/>
    </row>
    <row r="12" ht="14.25" customHeight="1">
      <c r="A12" s="23" t="s">
        <v>6</v>
      </c>
      <c r="B12" s="27">
        <f>'Teppanyaki Stall '!E18</f>
        <v>16487.14722</v>
      </c>
      <c r="C12" s="27">
        <f>'Teppanyaki Stall '!E21</f>
        <v>60000</v>
      </c>
      <c r="D12" s="31">
        <f t="shared" si="4"/>
        <v>0.274785787</v>
      </c>
      <c r="E12" s="61" t="s">
        <v>82</v>
      </c>
      <c r="F12" s="34" t="s">
        <v>83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4.25" customHeight="1">
      <c r="A13" s="23" t="s">
        <v>87</v>
      </c>
      <c r="B13" s="27">
        <f>'Teppanyaki Stall '!E36</f>
        <v>0</v>
      </c>
      <c r="C13" s="27">
        <f>'Teppanyaki Stall '!E39</f>
        <v>65000</v>
      </c>
      <c r="D13" s="31">
        <f t="shared" si="4"/>
        <v>0</v>
      </c>
      <c r="E13" s="61" t="s">
        <v>82</v>
      </c>
      <c r="F13" s="34" t="s">
        <v>90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4.25" customHeight="1">
      <c r="A14" s="23" t="s">
        <v>91</v>
      </c>
      <c r="B14" s="27">
        <f>'Teppanyaki Stall '!E54</f>
        <v>21275</v>
      </c>
      <c r="C14" s="27">
        <f>'Teppanyaki Stall '!E57</f>
        <v>55000</v>
      </c>
      <c r="D14" s="31">
        <f t="shared" si="4"/>
        <v>0.3868181818</v>
      </c>
      <c r="E14" s="61" t="s">
        <v>82</v>
      </c>
      <c r="F14" s="34" t="s">
        <v>93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4.25" customHeight="1">
      <c r="A15" s="23" t="s">
        <v>94</v>
      </c>
      <c r="B15" s="27">
        <f>'Teppanyaki Stall '!E72</f>
        <v>0</v>
      </c>
      <c r="C15" s="27">
        <f>'Teppanyaki Stall '!E75</f>
        <v>60000</v>
      </c>
      <c r="D15" s="31">
        <f t="shared" si="4"/>
        <v>0</v>
      </c>
      <c r="E15" s="61" t="s">
        <v>82</v>
      </c>
      <c r="F15" s="34" t="s">
        <v>95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4.25" customHeight="1">
      <c r="A16" s="23" t="s">
        <v>97</v>
      </c>
      <c r="B16" s="27">
        <f>'Teppanyaki Stall '!E90</f>
        <v>0</v>
      </c>
      <c r="C16" s="27">
        <f>'Teppanyaki Stall '!E93</f>
        <v>65000</v>
      </c>
      <c r="D16" s="31">
        <f t="shared" si="4"/>
        <v>0</v>
      </c>
      <c r="E16" s="61" t="s">
        <v>82</v>
      </c>
      <c r="F16" s="34" t="s">
        <v>100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4.25" customHeight="1">
      <c r="A17" s="54"/>
      <c r="B17" s="55"/>
      <c r="C17" s="55"/>
      <c r="D17" s="57"/>
      <c r="E17" s="54"/>
      <c r="F17" s="54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4.25" customHeight="1">
      <c r="A18" s="12" t="s">
        <v>1</v>
      </c>
      <c r="B18" s="16">
        <f t="shared" ref="B18:C18" si="5">IFERROR(AVERAGE(B19:B23),0)</f>
        <v>9895.160167</v>
      </c>
      <c r="C18" s="16">
        <f t="shared" si="5"/>
        <v>31000</v>
      </c>
      <c r="D18" s="18">
        <f t="shared" ref="D18:D23" si="6">IFERROR(B18/C18,0)</f>
        <v>0.3191987151</v>
      </c>
      <c r="E18" s="20"/>
      <c r="F18" s="22"/>
    </row>
    <row r="19" ht="14.25" customHeight="1">
      <c r="A19" s="23" t="s">
        <v>4</v>
      </c>
      <c r="B19" s="27">
        <f>'Dumpling Stall'!E15</f>
        <v>12606.18438</v>
      </c>
      <c r="C19" s="27">
        <f>'Dumpling Stall'!E18</f>
        <v>35000</v>
      </c>
      <c r="D19" s="31">
        <f t="shared" si="6"/>
        <v>0.3601766966</v>
      </c>
      <c r="E19" s="33" t="s">
        <v>33</v>
      </c>
      <c r="F19" s="34" t="s">
        <v>108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4.25" customHeight="1">
      <c r="A20" s="23" t="s">
        <v>75</v>
      </c>
      <c r="B20" s="27">
        <f>'Dumpling Stall'!E33</f>
        <v>11933.93978</v>
      </c>
      <c r="C20" s="27">
        <f>'Dumpling Stall'!E36</f>
        <v>35000</v>
      </c>
      <c r="D20" s="31">
        <f t="shared" si="6"/>
        <v>0.340969708</v>
      </c>
      <c r="E20" s="33" t="s">
        <v>33</v>
      </c>
      <c r="F20" s="34" t="s">
        <v>111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4.25" customHeight="1">
      <c r="A21" s="23" t="s">
        <v>98</v>
      </c>
      <c r="B21" s="27">
        <f>'Dumpling Stall'!E51</f>
        <v>17929.96612</v>
      </c>
      <c r="C21" s="27">
        <f>'Dumpling Stall'!E54</f>
        <v>35000</v>
      </c>
      <c r="D21" s="31">
        <f t="shared" si="6"/>
        <v>0.5122847462</v>
      </c>
      <c r="E21" s="33" t="s">
        <v>33</v>
      </c>
      <c r="F21" s="34" t="s">
        <v>112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4.25" customHeight="1">
      <c r="A22" s="23" t="s">
        <v>113</v>
      </c>
      <c r="B22" s="27">
        <f>'Dumpling Stall'!E69</f>
        <v>3439.765</v>
      </c>
      <c r="C22" s="27">
        <f>'Dumpling Stall'!E72</f>
        <v>25000</v>
      </c>
      <c r="D22" s="31">
        <f t="shared" si="6"/>
        <v>0.1375906</v>
      </c>
      <c r="E22" s="61" t="s">
        <v>82</v>
      </c>
      <c r="F22" s="34" t="s">
        <v>114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4.25" customHeight="1">
      <c r="A23" s="23" t="s">
        <v>115</v>
      </c>
      <c r="B23" s="27">
        <f>'Dumpling Stall'!E87</f>
        <v>3565.945556</v>
      </c>
      <c r="C23" s="27">
        <f>'Dumpling Stall'!E90</f>
        <v>25000</v>
      </c>
      <c r="D23" s="31">
        <f t="shared" si="6"/>
        <v>0.1426378222</v>
      </c>
      <c r="E23" s="61" t="s">
        <v>82</v>
      </c>
      <c r="F23" s="34" t="s">
        <v>116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4.25" customHeight="1">
      <c r="A24" s="54"/>
      <c r="B24" s="55"/>
      <c r="C24" s="55"/>
      <c r="D24" s="57"/>
      <c r="E24" s="54"/>
      <c r="F24" s="54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4.25" customHeight="1">
      <c r="A25" s="12" t="s">
        <v>119</v>
      </c>
      <c r="B25" s="16">
        <f t="shared" ref="B25:C25" si="7">IFERROR(AVERAGE(B26:B39),0)</f>
        <v>56386.93579</v>
      </c>
      <c r="C25" s="16">
        <f t="shared" si="7"/>
        <v>78333.33333</v>
      </c>
      <c r="D25" s="18">
        <f t="shared" ref="D25:D39" si="8">IFERROR(B25/C25,0)</f>
        <v>0.7198332228</v>
      </c>
      <c r="E25" s="20"/>
      <c r="F25" s="22"/>
    </row>
    <row r="26" ht="14.25" customHeight="1">
      <c r="A26" s="63" t="s">
        <v>120</v>
      </c>
      <c r="B26" s="27">
        <f>'Sushi - Sashimi Stall'!E15</f>
        <v>8605.957061</v>
      </c>
      <c r="C26" s="27" t="str">
        <f>'Sushi - Sashimi Stall'!E18</f>
        <v/>
      </c>
      <c r="D26" s="31">
        <f t="shared" si="8"/>
        <v>0</v>
      </c>
      <c r="E26" s="61" t="s">
        <v>82</v>
      </c>
      <c r="F26" s="34" t="s">
        <v>121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4.25" customHeight="1">
      <c r="A27" s="63" t="s">
        <v>123</v>
      </c>
      <c r="B27" s="27">
        <f>'Sushi - Sashimi Stall'!E33</f>
        <v>11582.41667</v>
      </c>
      <c r="C27" s="27" t="str">
        <f>'Sushi - Sashimi Stall'!E36</f>
        <v/>
      </c>
      <c r="D27" s="31">
        <f t="shared" si="8"/>
        <v>0</v>
      </c>
      <c r="E27" s="61" t="s">
        <v>82</v>
      </c>
      <c r="F27" s="34" t="s">
        <v>124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4.25" customHeight="1">
      <c r="A28" s="23" t="s">
        <v>125</v>
      </c>
      <c r="B28" s="27">
        <f>'Sushi - Sashimi Stall'!E51</f>
        <v>48519.54545</v>
      </c>
      <c r="C28" s="64">
        <v>65000.0</v>
      </c>
      <c r="D28" s="31">
        <f t="shared" si="8"/>
        <v>0.7464545455</v>
      </c>
      <c r="E28" s="61" t="s">
        <v>82</v>
      </c>
      <c r="F28" s="34" t="s">
        <v>126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4.25" customHeight="1">
      <c r="A29" s="63" t="s">
        <v>128</v>
      </c>
      <c r="B29" s="27">
        <f>'Sushi - Sashimi Stall'!E69</f>
        <v>0</v>
      </c>
      <c r="C29" s="27" t="str">
        <f>'Sushi - Sashimi Stall'!E72</f>
        <v/>
      </c>
      <c r="D29" s="31">
        <f t="shared" si="8"/>
        <v>0</v>
      </c>
      <c r="E29" s="61" t="s">
        <v>82</v>
      </c>
      <c r="F29" s="34" t="s">
        <v>131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4.25" customHeight="1">
      <c r="A30" s="63" t="s">
        <v>133</v>
      </c>
      <c r="B30" s="27">
        <f>'Sushi - Sashimi Stall'!E87</f>
        <v>0</v>
      </c>
      <c r="C30" s="27" t="str">
        <f>'Sushi - Sashimi Stall'!E90</f>
        <v/>
      </c>
      <c r="D30" s="31">
        <f t="shared" si="8"/>
        <v>0</v>
      </c>
      <c r="E30" s="61" t="s">
        <v>82</v>
      </c>
      <c r="F30" s="34" t="s">
        <v>135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4.25" customHeight="1">
      <c r="A31" s="23" t="s">
        <v>137</v>
      </c>
      <c r="B31" s="27">
        <f>'Sushi - Sashimi Stall'!E105</f>
        <v>215487.5227</v>
      </c>
      <c r="C31" s="64">
        <v>80000.0</v>
      </c>
      <c r="D31" s="31">
        <f t="shared" si="8"/>
        <v>2.693594034</v>
      </c>
      <c r="E31" s="61" t="s">
        <v>82</v>
      </c>
      <c r="F31" s="34" t="s">
        <v>139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4.25" customHeight="1">
      <c r="A32" s="23" t="s">
        <v>140</v>
      </c>
      <c r="B32" s="27">
        <f>'Sushi - Sashimi Stall'!E123</f>
        <v>0</v>
      </c>
      <c r="C32" s="64">
        <v>80000.0</v>
      </c>
      <c r="D32" s="31">
        <f t="shared" si="8"/>
        <v>0</v>
      </c>
      <c r="E32" s="61" t="s">
        <v>82</v>
      </c>
      <c r="F32" s="34" t="s">
        <v>141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4.25" customHeight="1">
      <c r="A33" s="63" t="s">
        <v>142</v>
      </c>
      <c r="B33" s="27">
        <f>'Sushi - Sashimi Stall'!E141</f>
        <v>0</v>
      </c>
      <c r="C33" s="27" t="str">
        <f>'Sushi - Sashimi Stall'!E144</f>
        <v/>
      </c>
      <c r="D33" s="31">
        <f t="shared" si="8"/>
        <v>0</v>
      </c>
      <c r="E33" s="61" t="s">
        <v>82</v>
      </c>
      <c r="F33" s="34" t="s">
        <v>143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4.25" customHeight="1">
      <c r="A34" s="63" t="s">
        <v>144</v>
      </c>
      <c r="B34" s="27">
        <f>'Sushi - Sashimi Stall'!E159</f>
        <v>0</v>
      </c>
      <c r="C34" s="27" t="str">
        <f>'Sushi - Sashimi Stall'!E162</f>
        <v/>
      </c>
      <c r="D34" s="31">
        <f t="shared" si="8"/>
        <v>0</v>
      </c>
      <c r="E34" s="61" t="s">
        <v>82</v>
      </c>
      <c r="F34" s="34" t="s">
        <v>145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4.25" customHeight="1">
      <c r="A35" s="23" t="s">
        <v>149</v>
      </c>
      <c r="B35" s="27">
        <f>'Sushi - Sashimi Stall'!E177</f>
        <v>0</v>
      </c>
      <c r="C35" s="27" t="str">
        <f>'Sushi - Sashimi Stall'!E180</f>
        <v/>
      </c>
      <c r="D35" s="31">
        <f t="shared" si="8"/>
        <v>0</v>
      </c>
      <c r="E35" s="61" t="s">
        <v>82</v>
      </c>
      <c r="F35" s="34" t="s">
        <v>151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4.25" customHeight="1">
      <c r="A36" s="23" t="s">
        <v>152</v>
      </c>
      <c r="B36" s="27">
        <f>'Sushi - Sashimi Stall'!E195</f>
        <v>0</v>
      </c>
      <c r="C36" s="64">
        <v>85000.0</v>
      </c>
      <c r="D36" s="31">
        <f t="shared" si="8"/>
        <v>0</v>
      </c>
      <c r="E36" s="61" t="s">
        <v>82</v>
      </c>
      <c r="F36" s="34" t="s">
        <v>153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4.25" customHeight="1">
      <c r="A37" s="23" t="s">
        <v>154</v>
      </c>
      <c r="B37" s="27">
        <f>'Sushi - Sashimi Stall'!E213</f>
        <v>168193.7727</v>
      </c>
      <c r="C37" s="64">
        <v>85000.0</v>
      </c>
      <c r="D37" s="31">
        <f t="shared" si="8"/>
        <v>1.978750267</v>
      </c>
      <c r="E37" s="61" t="s">
        <v>82</v>
      </c>
      <c r="F37" s="34" t="s">
        <v>155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4.25" customHeight="1">
      <c r="A38" s="63" t="s">
        <v>156</v>
      </c>
      <c r="B38" s="27">
        <f>'Sushi - Sashimi Stall'!E231</f>
        <v>168834.1136</v>
      </c>
      <c r="C38" s="27" t="str">
        <f>'Sushi - Sashimi Stall'!E234</f>
        <v/>
      </c>
      <c r="D38" s="31">
        <f t="shared" si="8"/>
        <v>0</v>
      </c>
      <c r="E38" s="61" t="s">
        <v>82</v>
      </c>
      <c r="F38" s="34" t="s">
        <v>157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4.25" customHeight="1">
      <c r="A39" s="23" t="s">
        <v>158</v>
      </c>
      <c r="B39" s="27">
        <f>'Sushi - Sashimi Stall'!E249</f>
        <v>168193.7727</v>
      </c>
      <c r="C39" s="64">
        <v>75000.0</v>
      </c>
      <c r="D39" s="31">
        <f t="shared" si="8"/>
        <v>2.242583636</v>
      </c>
      <c r="E39" s="61" t="s">
        <v>82</v>
      </c>
      <c r="F39" s="34" t="s">
        <v>160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4.25" customHeight="1">
      <c r="A40" s="54"/>
      <c r="B40" s="55"/>
      <c r="C40" s="55"/>
      <c r="D40" s="57"/>
      <c r="E40" s="54"/>
      <c r="F40" s="54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4.25" customHeight="1">
      <c r="A41" s="12" t="s">
        <v>161</v>
      </c>
      <c r="B41" s="16">
        <f t="shared" ref="B41:C41" si="9">IFERROR(AVERAGE(B42:B54),0)</f>
        <v>5328.088616</v>
      </c>
      <c r="C41" s="16">
        <f t="shared" si="9"/>
        <v>17222.22222</v>
      </c>
      <c r="D41" s="18">
        <f t="shared" ref="D41:D97" si="10">IFERROR(B41/C41,0)</f>
        <v>0.3093728874</v>
      </c>
      <c r="E41" s="20"/>
      <c r="F41" s="22"/>
    </row>
    <row r="42" ht="14.25" customHeight="1">
      <c r="A42" s="23" t="s">
        <v>162</v>
      </c>
      <c r="B42" s="27">
        <f>'Bakery Stall'!E15</f>
        <v>3044.910086</v>
      </c>
      <c r="C42" s="27">
        <f>'Bakery Stall'!E18</f>
        <v>15000</v>
      </c>
      <c r="D42" s="31">
        <f t="shared" si="10"/>
        <v>0.2029940057</v>
      </c>
      <c r="E42" s="65" t="s">
        <v>163</v>
      </c>
      <c r="F42" s="34" t="s">
        <v>164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4.25" customHeight="1">
      <c r="A43" s="23" t="s">
        <v>165</v>
      </c>
      <c r="B43" s="27">
        <f>'Bakery Stall'!E33</f>
        <v>3134.759839</v>
      </c>
      <c r="C43" s="27">
        <f>'Bakery Stall'!E36</f>
        <v>15000</v>
      </c>
      <c r="D43" s="31">
        <f t="shared" si="10"/>
        <v>0.2089839893</v>
      </c>
      <c r="E43" s="65" t="s">
        <v>163</v>
      </c>
      <c r="F43" s="34" t="s">
        <v>164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4.25" customHeight="1">
      <c r="A44" s="63" t="s">
        <v>166</v>
      </c>
      <c r="B44" s="27">
        <f>'Bakery Stall'!E51</f>
        <v>6205.748795</v>
      </c>
      <c r="C44" s="27" t="str">
        <f>'Bakery Stall'!E54</f>
        <v/>
      </c>
      <c r="D44" s="31">
        <f t="shared" si="10"/>
        <v>0</v>
      </c>
      <c r="E44" s="65" t="s">
        <v>163</v>
      </c>
      <c r="F44" s="34" t="s">
        <v>167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4.25" customHeight="1">
      <c r="A45" s="63" t="s">
        <v>168</v>
      </c>
      <c r="B45" s="27">
        <f>'Bakery Stall'!E69</f>
        <v>6875.461054</v>
      </c>
      <c r="C45" s="27" t="str">
        <f>'Bakery Stall'!E72</f>
        <v/>
      </c>
      <c r="D45" s="31">
        <f t="shared" si="10"/>
        <v>0</v>
      </c>
      <c r="E45" s="65" t="s">
        <v>163</v>
      </c>
      <c r="F45" s="34" t="s">
        <v>169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4.25" customHeight="1">
      <c r="A46" s="63" t="s">
        <v>170</v>
      </c>
      <c r="B46" s="27">
        <f>'Bakery Stall'!E87</f>
        <v>7125.030365</v>
      </c>
      <c r="C46" s="27" t="str">
        <f>'Bakery Stall'!E90</f>
        <v/>
      </c>
      <c r="D46" s="31">
        <f t="shared" si="10"/>
        <v>0</v>
      </c>
      <c r="E46" s="65" t="s">
        <v>163</v>
      </c>
      <c r="F46" s="34" t="s">
        <v>171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4.25" customHeight="1">
      <c r="A47" s="63" t="s">
        <v>172</v>
      </c>
      <c r="B47" s="27">
        <f>'Bakery Stall'!E105</f>
        <v>5486.487137</v>
      </c>
      <c r="C47" s="27" t="str">
        <f>'Bakery Stall'!E108</f>
        <v/>
      </c>
      <c r="D47" s="31">
        <f t="shared" si="10"/>
        <v>0</v>
      </c>
      <c r="E47" s="65" t="s">
        <v>163</v>
      </c>
      <c r="F47" s="34" t="s">
        <v>173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4.25" customHeight="1">
      <c r="A48" s="23" t="s">
        <v>174</v>
      </c>
      <c r="B48" s="27">
        <f>'Bakery Stall'!E123</f>
        <v>6484.074509</v>
      </c>
      <c r="C48" s="27">
        <f>'Bakery Stall'!E126</f>
        <v>20000</v>
      </c>
      <c r="D48" s="31">
        <f t="shared" si="10"/>
        <v>0.3242037254</v>
      </c>
      <c r="E48" s="65" t="s">
        <v>163</v>
      </c>
      <c r="F48" s="34" t="s">
        <v>175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4.25" customHeight="1">
      <c r="A49" s="66" t="s">
        <v>176</v>
      </c>
      <c r="B49" s="67">
        <f>'Bakery Stall'!E141</f>
        <v>5120.669508</v>
      </c>
      <c r="C49" s="67">
        <f>'Bakery Stall'!E144</f>
        <v>20000</v>
      </c>
      <c r="D49" s="68">
        <f t="shared" si="10"/>
        <v>0.2560334754</v>
      </c>
      <c r="E49" s="69" t="s">
        <v>163</v>
      </c>
      <c r="F49" s="70" t="s">
        <v>177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4.25" customHeight="1">
      <c r="A50" s="71" t="s">
        <v>178</v>
      </c>
      <c r="B50" s="72">
        <f>'Bakery Stall'!E159</f>
        <v>5243.191899</v>
      </c>
      <c r="C50" s="72">
        <f>'Bakery Stall'!E162</f>
        <v>20000</v>
      </c>
      <c r="D50" s="73">
        <f t="shared" si="10"/>
        <v>0.2621595949</v>
      </c>
      <c r="E50" s="74" t="s">
        <v>163</v>
      </c>
      <c r="F50" s="75" t="s">
        <v>179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4.25" customHeight="1">
      <c r="A51" s="23" t="s">
        <v>181</v>
      </c>
      <c r="B51" s="27">
        <f>'Bakery Stall'!E177</f>
        <v>5822.431251</v>
      </c>
      <c r="C51" s="27">
        <f>'Bakery Stall'!E180</f>
        <v>20000</v>
      </c>
      <c r="D51" s="31">
        <f t="shared" si="10"/>
        <v>0.2911215626</v>
      </c>
      <c r="E51" s="65" t="s">
        <v>163</v>
      </c>
      <c r="F51" s="34" t="s">
        <v>182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4.25" customHeight="1">
      <c r="A52" s="23" t="s">
        <v>183</v>
      </c>
      <c r="B52" s="27">
        <f>'Bakery Stall'!E195</f>
        <v>2851.258553</v>
      </c>
      <c r="C52" s="27">
        <f>'Bakery Stall'!E198</f>
        <v>15000</v>
      </c>
      <c r="D52" s="31">
        <f t="shared" si="10"/>
        <v>0.1900839035</v>
      </c>
      <c r="E52" s="65" t="s">
        <v>163</v>
      </c>
      <c r="F52" s="34" t="s">
        <v>185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4.25" customHeight="1">
      <c r="A53" s="71" t="s">
        <v>186</v>
      </c>
      <c r="B53" s="72">
        <f>'Bakery Stall'!E213</f>
        <v>7731.690431</v>
      </c>
      <c r="C53" s="72">
        <f>'Bakery Stall'!E216</f>
        <v>15000</v>
      </c>
      <c r="D53" s="73">
        <f t="shared" si="10"/>
        <v>0.5154460287</v>
      </c>
      <c r="E53" s="74" t="s">
        <v>163</v>
      </c>
      <c r="F53" s="75" t="s">
        <v>187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4.25" customHeight="1">
      <c r="A54" s="23" t="s">
        <v>188</v>
      </c>
      <c r="B54" s="27">
        <f>'Bakery Stall'!E231</f>
        <v>4139.438581</v>
      </c>
      <c r="C54" s="27">
        <f>'Bakery Stall'!E234</f>
        <v>15000</v>
      </c>
      <c r="D54" s="31">
        <f t="shared" si="10"/>
        <v>0.2759625721</v>
      </c>
      <c r="E54" s="65" t="s">
        <v>163</v>
      </c>
      <c r="F54" s="34" t="s">
        <v>192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4.25" customHeight="1">
      <c r="A55" s="63"/>
      <c r="B55" s="27"/>
      <c r="C55" s="27"/>
      <c r="D55" s="31">
        <f t="shared" si="10"/>
        <v>0</v>
      </c>
      <c r="E55" s="76"/>
      <c r="F55" s="34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4.25" customHeight="1">
      <c r="A56" s="77" t="s">
        <v>189</v>
      </c>
      <c r="B56" s="79">
        <f t="shared" ref="B56:C56" si="11">IFERROR(AVERAGE(B57:B63),0)</f>
        <v>57962.49083</v>
      </c>
      <c r="C56" s="79">
        <f t="shared" si="11"/>
        <v>53333.33333</v>
      </c>
      <c r="D56" s="80">
        <f t="shared" si="10"/>
        <v>1.086796703</v>
      </c>
      <c r="E56" s="81"/>
      <c r="F56" s="82"/>
    </row>
    <row r="57" ht="14.25" customHeight="1">
      <c r="A57" s="63" t="s">
        <v>191</v>
      </c>
      <c r="B57" s="27">
        <f>'Burger - sandwiches Stall'!E15</f>
        <v>344894.2681</v>
      </c>
      <c r="C57" s="27" t="str">
        <f>'Burger - sandwiches Stall'!E18</f>
        <v/>
      </c>
      <c r="D57" s="31">
        <f t="shared" si="10"/>
        <v>0</v>
      </c>
      <c r="E57" s="61" t="s">
        <v>82</v>
      </c>
      <c r="F57" s="34" t="s">
        <v>202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4.25" customHeight="1">
      <c r="A58" s="63" t="s">
        <v>204</v>
      </c>
      <c r="B58" s="27">
        <f>'Burger - sandwiches Stall'!E33</f>
        <v>9706.54274</v>
      </c>
      <c r="C58" s="27" t="str">
        <f>'Burger - sandwiches Stall'!E36</f>
        <v/>
      </c>
      <c r="D58" s="31">
        <f t="shared" si="10"/>
        <v>0</v>
      </c>
      <c r="E58" s="61" t="s">
        <v>82</v>
      </c>
      <c r="F58" s="34" t="s">
        <v>205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4.25" customHeight="1">
      <c r="A59" s="70" t="s">
        <v>206</v>
      </c>
      <c r="B59" s="67">
        <f>'Burger - sandwiches Stall'!E51</f>
        <v>6774.521052</v>
      </c>
      <c r="C59" s="67" t="str">
        <f>'Burger - sandwiches Stall'!E54</f>
        <v/>
      </c>
      <c r="D59" s="68">
        <f t="shared" si="10"/>
        <v>0</v>
      </c>
      <c r="E59" s="83" t="s">
        <v>82</v>
      </c>
      <c r="F59" s="70" t="s">
        <v>208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4.25" customHeight="1">
      <c r="A60" s="85" t="s">
        <v>209</v>
      </c>
      <c r="B60" s="72">
        <f>'Burger - sandwiches Stall'!E69</f>
        <v>19937.54556</v>
      </c>
      <c r="C60" s="72" t="str">
        <f>'Burger - sandwiches Stall'!F69</f>
        <v/>
      </c>
      <c r="D60" s="73">
        <f t="shared" si="10"/>
        <v>0</v>
      </c>
      <c r="E60" s="87" t="s">
        <v>82</v>
      </c>
      <c r="F60" s="75" t="s">
        <v>214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4.25" customHeight="1">
      <c r="A61" s="63" t="s">
        <v>209</v>
      </c>
      <c r="B61" s="27">
        <f>'Burger - sandwiches Stall'!E87</f>
        <v>0</v>
      </c>
      <c r="C61" s="27">
        <f>'Burger - sandwiches Stall'!E90</f>
        <v>55000</v>
      </c>
      <c r="D61" s="31">
        <f t="shared" si="10"/>
        <v>0</v>
      </c>
      <c r="E61" s="61" t="s">
        <v>82</v>
      </c>
      <c r="F61" s="34" t="s">
        <v>217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4.25" customHeight="1">
      <c r="A62" s="63" t="s">
        <v>220</v>
      </c>
      <c r="B62" s="27">
        <f>'Burger - sandwiches Stall'!E105</f>
        <v>3490.664634</v>
      </c>
      <c r="C62" s="27">
        <f>'Burger - sandwiches Stall'!E108</f>
        <v>50000</v>
      </c>
      <c r="D62" s="31">
        <f t="shared" si="10"/>
        <v>0.06981329268</v>
      </c>
      <c r="E62" s="61" t="s">
        <v>82</v>
      </c>
      <c r="F62" s="34" t="s">
        <v>222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4.25" customHeight="1">
      <c r="A63" s="85" t="s">
        <v>224</v>
      </c>
      <c r="B63" s="72">
        <f>'Burger - sandwiches Stall'!E123</f>
        <v>20933.89373</v>
      </c>
      <c r="C63" s="72">
        <f>'Burger - sandwiches Stall'!E126</f>
        <v>55000</v>
      </c>
      <c r="D63" s="73">
        <f t="shared" si="10"/>
        <v>0.3806162497</v>
      </c>
      <c r="E63" s="87" t="s">
        <v>82</v>
      </c>
      <c r="F63" s="75" t="s">
        <v>225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4.25" customHeight="1">
      <c r="A64" s="63"/>
      <c r="B64" s="27"/>
      <c r="C64" s="27"/>
      <c r="D64" s="31">
        <f t="shared" si="10"/>
        <v>0</v>
      </c>
      <c r="E64" s="76"/>
      <c r="F64" s="34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4.25" customHeight="1">
      <c r="A65" s="63"/>
      <c r="B65" s="27"/>
      <c r="C65" s="27"/>
      <c r="D65" s="31">
        <f t="shared" si="10"/>
        <v>0</v>
      </c>
      <c r="E65" s="76"/>
      <c r="F65" s="34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4.25" customHeight="1">
      <c r="A66" s="77" t="s">
        <v>227</v>
      </c>
      <c r="B66" s="79">
        <f t="shared" ref="B66:C66" si="12">IFERROR(AVERAGE(B67:B74),0)</f>
        <v>12193.32754</v>
      </c>
      <c r="C66" s="79">
        <f t="shared" si="12"/>
        <v>40714.28571</v>
      </c>
      <c r="D66" s="80">
        <f t="shared" si="10"/>
        <v>0.2994852379</v>
      </c>
      <c r="E66" s="81"/>
      <c r="F66" s="82"/>
    </row>
    <row r="67" ht="14.25" customHeight="1">
      <c r="A67" s="23" t="s">
        <v>229</v>
      </c>
      <c r="B67" s="27">
        <f>'Agemono - Frying Section Stall'!E15</f>
        <v>10771.57467</v>
      </c>
      <c r="C67" s="27">
        <f>'Agemono - Frying Section Stall'!E18</f>
        <v>40000</v>
      </c>
      <c r="D67" s="31">
        <f t="shared" si="10"/>
        <v>0.2692893667</v>
      </c>
      <c r="E67" s="33" t="s">
        <v>33</v>
      </c>
      <c r="F67" s="34" t="s">
        <v>233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4.25" customHeight="1">
      <c r="A68" s="23" t="s">
        <v>235</v>
      </c>
      <c r="B68" s="27">
        <f>'Agemono - Frying Section Stall'!E33</f>
        <v>8770.887914</v>
      </c>
      <c r="C68" s="27">
        <f>'Agemono - Frying Section Stall'!E36</f>
        <v>40000</v>
      </c>
      <c r="D68" s="31">
        <f t="shared" si="10"/>
        <v>0.2192721979</v>
      </c>
      <c r="E68" s="33" t="s">
        <v>33</v>
      </c>
      <c r="F68" s="34" t="s">
        <v>237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4.25" customHeight="1">
      <c r="A69" s="66" t="s">
        <v>238</v>
      </c>
      <c r="B69" s="67">
        <f>'Agemono - Frying Section Stall'!E51</f>
        <v>23558.67749</v>
      </c>
      <c r="C69" s="67">
        <f>'Agemono - Frying Section Stall'!E54</f>
        <v>50000</v>
      </c>
      <c r="D69" s="68">
        <f t="shared" si="10"/>
        <v>0.4711735499</v>
      </c>
      <c r="E69" s="89" t="s">
        <v>33</v>
      </c>
      <c r="F69" s="70" t="s">
        <v>239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4.25" customHeight="1">
      <c r="A70" s="71" t="s">
        <v>240</v>
      </c>
      <c r="B70" s="72">
        <f>'Agemono - Frying Section Stall'!E69</f>
        <v>30894.86952</v>
      </c>
      <c r="C70" s="72">
        <f>'Agemono - Frying Section Stall'!E72</f>
        <v>60000</v>
      </c>
      <c r="D70" s="73">
        <f t="shared" si="10"/>
        <v>0.514914492</v>
      </c>
      <c r="E70" s="90" t="s">
        <v>33</v>
      </c>
      <c r="F70" s="75" t="s">
        <v>243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4.25" customHeight="1">
      <c r="A71" s="23" t="s">
        <v>245</v>
      </c>
      <c r="B71" s="27">
        <f>'Agemono - Frying Section Stall'!E87</f>
        <v>3464.934545</v>
      </c>
      <c r="C71" s="27">
        <f>'Agemono - Frying Section Stall'!E90</f>
        <v>25000</v>
      </c>
      <c r="D71" s="31">
        <f t="shared" si="10"/>
        <v>0.1385973818</v>
      </c>
      <c r="E71" s="33" t="s">
        <v>33</v>
      </c>
      <c r="F71" s="34" t="s">
        <v>248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4.25" customHeight="1">
      <c r="A72" s="23" t="s">
        <v>249</v>
      </c>
      <c r="B72" s="27">
        <f>'Agemono - Frying Section Stall'!E105</f>
        <v>11463.74422</v>
      </c>
      <c r="C72" s="27">
        <f>'Agemono - Frying Section Stall'!E108</f>
        <v>35000</v>
      </c>
      <c r="D72" s="31">
        <f t="shared" si="10"/>
        <v>0.3275355492</v>
      </c>
      <c r="E72" s="33" t="s">
        <v>33</v>
      </c>
      <c r="F72" s="34" t="s">
        <v>250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4.25" customHeight="1">
      <c r="A73" s="71" t="s">
        <v>251</v>
      </c>
      <c r="B73" s="72">
        <f>'Agemono - Frying Section Stall'!E123</f>
        <v>8621.931975</v>
      </c>
      <c r="C73" s="72">
        <f>'Agemono - Frying Section Stall'!E126</f>
        <v>35000</v>
      </c>
      <c r="D73" s="73">
        <f t="shared" si="10"/>
        <v>0.2463409136</v>
      </c>
      <c r="E73" s="90" t="s">
        <v>33</v>
      </c>
      <c r="F73" s="75" t="s">
        <v>253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4.25" customHeight="1">
      <c r="A74" s="70" t="s">
        <v>254</v>
      </c>
      <c r="B74" s="67">
        <f>'Agemono - Frying Section Stall'!E141</f>
        <v>0</v>
      </c>
      <c r="C74" s="67" t="str">
        <f>'Agemono - Frying Section Stall'!E144</f>
        <v/>
      </c>
      <c r="D74" s="68">
        <f t="shared" si="10"/>
        <v>0</v>
      </c>
      <c r="E74" s="89" t="s">
        <v>33</v>
      </c>
      <c r="F74" s="70" t="s">
        <v>255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4.25" customHeight="1">
      <c r="A75" s="85"/>
      <c r="B75" s="72">
        <f>'Rice bowl Stall'!E33</f>
        <v>14647.84405</v>
      </c>
      <c r="C75" s="72" t="str">
        <f>'Rice bowl Stall'!F33</f>
        <v/>
      </c>
      <c r="D75" s="73">
        <f t="shared" si="10"/>
        <v>0</v>
      </c>
      <c r="E75" s="91"/>
      <c r="F75" s="7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4.25" customHeight="1">
      <c r="A76" s="77" t="s">
        <v>256</v>
      </c>
      <c r="B76" s="79">
        <f t="shared" ref="B76:C76" si="13">IFERROR(AVERAGE(B77:B79),0)</f>
        <v>22452.51071</v>
      </c>
      <c r="C76" s="79">
        <f t="shared" si="13"/>
        <v>75000</v>
      </c>
      <c r="D76" s="80">
        <f t="shared" si="10"/>
        <v>0.2993668095</v>
      </c>
      <c r="E76" s="81"/>
      <c r="F76" s="82"/>
    </row>
    <row r="77" ht="14.25" customHeight="1">
      <c r="A77" s="23" t="s">
        <v>257</v>
      </c>
      <c r="B77" s="27">
        <f>'Rice bowl Stall'!E15</f>
        <v>14647.84405</v>
      </c>
      <c r="C77" s="27">
        <f>'Rice bowl Stall'!E18</f>
        <v>75000</v>
      </c>
      <c r="D77" s="31">
        <f t="shared" si="10"/>
        <v>0.1953045873</v>
      </c>
      <c r="E77" s="33" t="s">
        <v>33</v>
      </c>
      <c r="F77" s="34" t="s">
        <v>259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4.25" customHeight="1">
      <c r="A78" s="71" t="s">
        <v>260</v>
      </c>
      <c r="B78" s="72">
        <f>'Rice bowl Stall'!E33</f>
        <v>14647.84405</v>
      </c>
      <c r="C78" s="72">
        <f>'Rice bowl Stall'!E36</f>
        <v>70000</v>
      </c>
      <c r="D78" s="73">
        <f t="shared" si="10"/>
        <v>0.209254915</v>
      </c>
      <c r="E78" s="90" t="s">
        <v>33</v>
      </c>
      <c r="F78" s="75" t="s">
        <v>261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4.25" customHeight="1">
      <c r="A79" s="63" t="s">
        <v>262</v>
      </c>
      <c r="B79" s="27">
        <f>'Rice bowl Stall'!E51</f>
        <v>38061.84405</v>
      </c>
      <c r="C79" s="27">
        <f>'Rice bowl Stall'!E54</f>
        <v>80000</v>
      </c>
      <c r="D79" s="31">
        <f t="shared" si="10"/>
        <v>0.4757730506</v>
      </c>
      <c r="E79" s="33" t="s">
        <v>33</v>
      </c>
      <c r="F79" s="34" t="s">
        <v>263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4.25" customHeight="1">
      <c r="A80" s="63"/>
      <c r="B80" s="27"/>
      <c r="C80" s="27"/>
      <c r="D80" s="31">
        <f t="shared" si="10"/>
        <v>0</v>
      </c>
      <c r="E80" s="76"/>
      <c r="F80" s="34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4.25" customHeight="1">
      <c r="A81" s="77" t="s">
        <v>264</v>
      </c>
      <c r="B81" s="79">
        <f t="shared" ref="B81:C81" si="14">IFERROR(AVERAGE(B82:B87),0)</f>
        <v>30771.86628</v>
      </c>
      <c r="C81" s="79">
        <f t="shared" si="14"/>
        <v>0</v>
      </c>
      <c r="D81" s="80">
        <f t="shared" si="10"/>
        <v>0</v>
      </c>
      <c r="E81" s="81"/>
      <c r="F81" s="82"/>
    </row>
    <row r="82" ht="14.25" customHeight="1">
      <c r="A82" s="70" t="s">
        <v>266</v>
      </c>
      <c r="B82" s="67">
        <f>'Ramen - Noodles Stall'!E17</f>
        <v>54600.39174</v>
      </c>
      <c r="C82" s="67" t="str">
        <f>'Ramen - Noodles Stall'!E20</f>
        <v/>
      </c>
      <c r="D82" s="68">
        <f t="shared" si="10"/>
        <v>0</v>
      </c>
      <c r="E82" s="89" t="s">
        <v>33</v>
      </c>
      <c r="F82" s="70" t="s">
        <v>267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4.25" customHeight="1">
      <c r="A83" s="85" t="s">
        <v>268</v>
      </c>
      <c r="B83" s="72">
        <f>'Ramen - Noodles Stall'!E38</f>
        <v>20207.98126</v>
      </c>
      <c r="C83" s="72" t="str">
        <f>'Ramen - Noodles Stall'!F38</f>
        <v/>
      </c>
      <c r="D83" s="73">
        <f t="shared" si="10"/>
        <v>0</v>
      </c>
      <c r="E83" s="90" t="s">
        <v>33</v>
      </c>
      <c r="F83" s="75" t="s">
        <v>269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4.25" customHeight="1">
      <c r="A84" s="63" t="s">
        <v>270</v>
      </c>
      <c r="B84" s="27">
        <f>'Ramen - Noodles Stall'!E58</f>
        <v>8002.915575</v>
      </c>
      <c r="C84" s="27" t="str">
        <f>'Ramen - Noodles Stall'!E61</f>
        <v/>
      </c>
      <c r="D84" s="31">
        <f t="shared" si="10"/>
        <v>0</v>
      </c>
      <c r="E84" s="33" t="s">
        <v>33</v>
      </c>
      <c r="F84" s="34" t="s">
        <v>271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4.25" customHeight="1">
      <c r="A85" s="63" t="s">
        <v>272</v>
      </c>
      <c r="B85" s="27">
        <f>'Ramen - Noodles Stall'!E82</f>
        <v>19927.03104</v>
      </c>
      <c r="C85" s="27" t="str">
        <f>'Ramen - Noodles Stall'!E85</f>
        <v/>
      </c>
      <c r="D85" s="31">
        <f t="shared" si="10"/>
        <v>0</v>
      </c>
      <c r="E85" s="33" t="s">
        <v>33</v>
      </c>
      <c r="F85" s="34" t="s">
        <v>273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4.25" customHeight="1">
      <c r="A86" s="85" t="s">
        <v>274</v>
      </c>
      <c r="B86" s="72">
        <f>'Ramen - Noodles Stall'!E106</f>
        <v>25602.28104</v>
      </c>
      <c r="C86" s="72" t="str">
        <f>'Ramen - Noodles Stall'!E109</f>
        <v/>
      </c>
      <c r="D86" s="73">
        <f t="shared" si="10"/>
        <v>0</v>
      </c>
      <c r="E86" s="90" t="s">
        <v>33</v>
      </c>
      <c r="F86" s="75" t="s">
        <v>277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4.25" customHeight="1">
      <c r="A87" s="70" t="s">
        <v>279</v>
      </c>
      <c r="B87" s="67">
        <f>'Ramen - Noodles Stall'!E130</f>
        <v>56290.59705</v>
      </c>
      <c r="C87" s="67" t="str">
        <f>'Ramen - Noodles Stall'!E133</f>
        <v/>
      </c>
      <c r="D87" s="68">
        <f t="shared" si="10"/>
        <v>0</v>
      </c>
      <c r="E87" s="89" t="s">
        <v>33</v>
      </c>
      <c r="F87" s="70" t="s">
        <v>280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4.25" customHeight="1">
      <c r="A88" s="85"/>
      <c r="B88" s="72">
        <f>'Udon - Noodles Stall'!E33</f>
        <v>0</v>
      </c>
      <c r="C88" s="72" t="str">
        <f>'Udon - Noodles Stall'!F33</f>
        <v/>
      </c>
      <c r="D88" s="73">
        <f t="shared" si="10"/>
        <v>0</v>
      </c>
      <c r="E88" s="91"/>
      <c r="F88" s="7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4.25" customHeight="1">
      <c r="A89" s="77" t="s">
        <v>281</v>
      </c>
      <c r="B89" s="79">
        <f t="shared" ref="B89:C89" si="15">IFERROR(AVERAGE(B90:B92),0)</f>
        <v>27213.6</v>
      </c>
      <c r="C89" s="79">
        <f t="shared" si="15"/>
        <v>0</v>
      </c>
      <c r="D89" s="80">
        <f t="shared" si="10"/>
        <v>0</v>
      </c>
      <c r="E89" s="81"/>
      <c r="F89" s="82"/>
    </row>
    <row r="90" ht="14.25" customHeight="1">
      <c r="A90" s="63" t="s">
        <v>282</v>
      </c>
      <c r="B90" s="27">
        <f>'Udon - Noodles Stall'!E15</f>
        <v>81640.8</v>
      </c>
      <c r="C90" s="27" t="str">
        <f>'Udon - Noodles Stall'!E18</f>
        <v/>
      </c>
      <c r="D90" s="31">
        <f t="shared" si="10"/>
        <v>0</v>
      </c>
      <c r="E90" s="33" t="s">
        <v>33</v>
      </c>
      <c r="F90" s="34" t="s">
        <v>283</v>
      </c>
    </row>
    <row r="91" ht="14.25" customHeight="1">
      <c r="A91" s="85" t="s">
        <v>284</v>
      </c>
      <c r="B91" s="72">
        <f>'Udon - Noodles Stall'!E33</f>
        <v>0</v>
      </c>
      <c r="C91" s="72" t="str">
        <f>'Udon - Noodles Stall'!E36</f>
        <v/>
      </c>
      <c r="D91" s="73">
        <f t="shared" si="10"/>
        <v>0</v>
      </c>
      <c r="E91" s="87" t="s">
        <v>82</v>
      </c>
      <c r="F91" s="75" t="s">
        <v>285</v>
      </c>
    </row>
    <row r="92" ht="14.25" customHeight="1">
      <c r="A92" s="70" t="s">
        <v>286</v>
      </c>
      <c r="B92" s="113">
        <f>'Udon - Noodles Stall'!E51</f>
        <v>0</v>
      </c>
      <c r="C92" s="113" t="str">
        <f>'Udon - Noodles Stall'!E54</f>
        <v/>
      </c>
      <c r="D92" s="114">
        <f t="shared" si="10"/>
        <v>0</v>
      </c>
      <c r="E92" s="115" t="s">
        <v>82</v>
      </c>
      <c r="F92" s="116" t="s">
        <v>288</v>
      </c>
    </row>
    <row r="93" ht="14.25" customHeight="1">
      <c r="A93" s="85"/>
      <c r="B93" s="72">
        <f>'Japanese Poridge Stall'!E33</f>
        <v>0</v>
      </c>
      <c r="C93" s="72" t="str">
        <f>'Japanese Poridge Stall'!F33</f>
        <v/>
      </c>
      <c r="D93" s="73">
        <f t="shared" si="10"/>
        <v>0</v>
      </c>
      <c r="E93" s="91"/>
      <c r="F93" s="75"/>
    </row>
    <row r="94" ht="14.25" customHeight="1">
      <c r="A94" s="77" t="s">
        <v>289</v>
      </c>
      <c r="B94" s="79">
        <f t="shared" ref="B94:C94" si="16">IFERROR(AVERAGE(B95:B97),0)</f>
        <v>0</v>
      </c>
      <c r="C94" s="79">
        <f t="shared" si="16"/>
        <v>0</v>
      </c>
      <c r="D94" s="80">
        <f t="shared" si="10"/>
        <v>0</v>
      </c>
      <c r="E94" s="81"/>
      <c r="F94" s="82"/>
    </row>
    <row r="95" ht="14.25" customHeight="1">
      <c r="A95" s="63" t="s">
        <v>291</v>
      </c>
      <c r="B95" s="27">
        <f>'Japanese Poridge Stall'!E15</f>
        <v>0</v>
      </c>
      <c r="C95" s="27" t="str">
        <f>'Japanese Poridge Stall'!E18</f>
        <v/>
      </c>
      <c r="D95" s="31">
        <f t="shared" si="10"/>
        <v>0</v>
      </c>
      <c r="E95" s="61" t="s">
        <v>82</v>
      </c>
      <c r="F95" s="34" t="s">
        <v>293</v>
      </c>
    </row>
    <row r="96" ht="14.25" customHeight="1">
      <c r="A96" s="85" t="s">
        <v>294</v>
      </c>
      <c r="B96" s="72">
        <f>'Japanese Poridge Stall'!E33</f>
        <v>0</v>
      </c>
      <c r="C96" s="72" t="str">
        <f>'Japanese Poridge Stall'!E36</f>
        <v/>
      </c>
      <c r="D96" s="73">
        <f t="shared" si="10"/>
        <v>0</v>
      </c>
      <c r="E96" s="87" t="s">
        <v>82</v>
      </c>
      <c r="F96" s="75" t="s">
        <v>295</v>
      </c>
    </row>
    <row r="97" ht="14.25" customHeight="1">
      <c r="A97" s="63" t="s">
        <v>296</v>
      </c>
      <c r="B97" s="27">
        <f>'Japanese Poridge Stall'!E51</f>
        <v>0</v>
      </c>
      <c r="C97" s="27" t="str">
        <f>'Japanese Poridge Stall'!E54</f>
        <v/>
      </c>
      <c r="D97" s="31">
        <f t="shared" si="10"/>
        <v>0</v>
      </c>
      <c r="E97" s="61" t="s">
        <v>82</v>
      </c>
      <c r="F97" s="34" t="s">
        <v>297</v>
      </c>
    </row>
    <row r="98" ht="14.25" customHeight="1">
      <c r="A98" s="116"/>
      <c r="B98" s="113"/>
      <c r="C98" s="113"/>
      <c r="D98" s="114">
        <v>0.0</v>
      </c>
      <c r="E98" s="116"/>
      <c r="F98" s="116"/>
    </row>
    <row r="99" ht="14.25" customHeight="1">
      <c r="A99" s="12" t="s">
        <v>298</v>
      </c>
      <c r="B99" s="16">
        <f t="shared" ref="B99:C99" si="17">IFERROR(AVERAGE(B100:B103),0)</f>
        <v>0</v>
      </c>
      <c r="C99" s="16">
        <f t="shared" si="17"/>
        <v>0</v>
      </c>
      <c r="D99" s="18">
        <f t="shared" ref="D99:D113" si="18">IFERROR(B99/C99,0)</f>
        <v>0</v>
      </c>
      <c r="E99" s="20"/>
      <c r="F99" s="22"/>
    </row>
    <row r="100" ht="14.25" customHeight="1">
      <c r="A100" s="63" t="s">
        <v>299</v>
      </c>
      <c r="B100" s="27">
        <f>'Yakimono - Griiled Stall'!E15</f>
        <v>0</v>
      </c>
      <c r="C100" s="27" t="str">
        <f>'Yakimono - Griiled Stall'!E18</f>
        <v/>
      </c>
      <c r="D100" s="31">
        <f t="shared" si="18"/>
        <v>0</v>
      </c>
      <c r="E100" s="61" t="s">
        <v>82</v>
      </c>
      <c r="F100" s="34" t="s">
        <v>300</v>
      </c>
    </row>
    <row r="101" ht="14.25" customHeight="1">
      <c r="A101" s="63" t="s">
        <v>302</v>
      </c>
      <c r="B101" s="27">
        <f>'Yakimono - Griiled Stall'!E33</f>
        <v>0</v>
      </c>
      <c r="C101" s="27" t="str">
        <f>'Yakimono - Griiled Stall'!E36</f>
        <v/>
      </c>
      <c r="D101" s="31">
        <f t="shared" si="18"/>
        <v>0</v>
      </c>
      <c r="E101" s="61" t="s">
        <v>82</v>
      </c>
      <c r="F101" s="34" t="s">
        <v>303</v>
      </c>
    </row>
    <row r="102" ht="14.25" customHeight="1">
      <c r="A102" s="85" t="s">
        <v>304</v>
      </c>
      <c r="B102" s="72" t="str">
        <f>'Yakimono - Griiled Stall'!E54</f>
        <v/>
      </c>
      <c r="C102" s="72" t="str">
        <f>'Yakimono - Griiled Stall'!E57</f>
        <v>Value /pcs</v>
      </c>
      <c r="D102" s="73">
        <f t="shared" si="18"/>
        <v>0</v>
      </c>
      <c r="E102" s="87" t="s">
        <v>82</v>
      </c>
      <c r="F102" s="75" t="s">
        <v>306</v>
      </c>
    </row>
    <row r="103" ht="14.25" customHeight="1">
      <c r="A103" s="63" t="s">
        <v>308</v>
      </c>
      <c r="B103" s="27" t="str">
        <f>'Yakimono - Griiled Stall'!E72</f>
        <v/>
      </c>
      <c r="C103" s="27" t="str">
        <f>'Yakimono - Griiled Stall'!E75</f>
        <v/>
      </c>
      <c r="D103" s="31">
        <f t="shared" si="18"/>
        <v>0</v>
      </c>
      <c r="E103" s="61" t="s">
        <v>82</v>
      </c>
      <c r="F103" s="34" t="s">
        <v>309</v>
      </c>
    </row>
    <row r="104" ht="14.25" customHeight="1">
      <c r="A104" s="85"/>
      <c r="B104" s="72">
        <f>'Onigiri Corner Stall'!E33</f>
        <v>0</v>
      </c>
      <c r="C104" s="72" t="str">
        <f>'Onigiri Corner Stall'!F33</f>
        <v/>
      </c>
      <c r="D104" s="73">
        <f t="shared" si="18"/>
        <v>0</v>
      </c>
      <c r="E104" s="91"/>
      <c r="F104" s="75"/>
    </row>
    <row r="105" ht="14.25" customHeight="1">
      <c r="A105" s="12" t="s">
        <v>310</v>
      </c>
      <c r="B105" s="16">
        <f t="shared" ref="B105:C105" si="19">IFERROR(AVERAGE(B106:B113),0)</f>
        <v>7397.370673</v>
      </c>
      <c r="C105" s="16">
        <f t="shared" si="19"/>
        <v>25000</v>
      </c>
      <c r="D105" s="117">
        <f t="shared" si="18"/>
        <v>0.2958948269</v>
      </c>
      <c r="E105" s="118"/>
      <c r="F105" s="118"/>
    </row>
    <row r="106" ht="14.25" customHeight="1">
      <c r="A106" s="85" t="s">
        <v>313</v>
      </c>
      <c r="B106" s="72">
        <f>'Onigiri Corner Stall'!E15</f>
        <v>0</v>
      </c>
      <c r="C106" s="72" t="str">
        <f>'Onigiri Corner Stall'!E18</f>
        <v/>
      </c>
      <c r="D106" s="119">
        <f t="shared" si="18"/>
        <v>0</v>
      </c>
      <c r="E106" s="120" t="s">
        <v>82</v>
      </c>
      <c r="F106" s="121" t="s">
        <v>315</v>
      </c>
    </row>
    <row r="107" ht="14.25" customHeight="1">
      <c r="A107" s="85" t="s">
        <v>316</v>
      </c>
      <c r="B107" s="72">
        <f>'Onigiri Corner Stall'!E33</f>
        <v>0</v>
      </c>
      <c r="C107" s="72" t="str">
        <f>'Onigiri Corner Stall'!E36</f>
        <v/>
      </c>
      <c r="D107" s="119">
        <f t="shared" si="18"/>
        <v>0</v>
      </c>
      <c r="E107" s="122" t="s">
        <v>82</v>
      </c>
      <c r="F107" s="121" t="s">
        <v>317</v>
      </c>
    </row>
    <row r="108" ht="14.25" customHeight="1">
      <c r="A108" s="70" t="s">
        <v>318</v>
      </c>
      <c r="B108" s="113" t="str">
        <f>'Onigiri Corner Stall'!E54</f>
        <v/>
      </c>
      <c r="C108" s="113" t="str">
        <f>'Onigiri Corner Stall'!E36</f>
        <v/>
      </c>
      <c r="D108" s="114">
        <f t="shared" si="18"/>
        <v>0</v>
      </c>
      <c r="E108" s="115" t="s">
        <v>82</v>
      </c>
      <c r="F108" s="116" t="s">
        <v>319</v>
      </c>
    </row>
    <row r="109" ht="14.25" customHeight="1">
      <c r="A109" s="85" t="s">
        <v>321</v>
      </c>
      <c r="B109" s="72" t="str">
        <f>'Onigiri Corner Stall'!E72</f>
        <v/>
      </c>
      <c r="C109" s="72" t="str">
        <f>'Onigiri Corner Stall'!E75</f>
        <v/>
      </c>
      <c r="D109" s="73">
        <f t="shared" si="18"/>
        <v>0</v>
      </c>
      <c r="E109" s="87" t="s">
        <v>82</v>
      </c>
      <c r="F109" s="75" t="s">
        <v>323</v>
      </c>
    </row>
    <row r="110" ht="14.25" customHeight="1">
      <c r="A110" s="12" t="s">
        <v>324</v>
      </c>
      <c r="B110" s="16">
        <f t="shared" ref="B110:C110" si="20">IFERROR(AVERAGE(B111:B113),0)</f>
        <v>11096.05601</v>
      </c>
      <c r="C110" s="16">
        <f t="shared" si="20"/>
        <v>25000</v>
      </c>
      <c r="D110" s="117">
        <f t="shared" si="18"/>
        <v>0.4438422404</v>
      </c>
      <c r="E110" s="118"/>
      <c r="F110" s="118"/>
    </row>
    <row r="111" ht="14.25" customHeight="1">
      <c r="A111" s="70" t="str">
        <f>'Yokoco Beverage Stall'!A2</f>
        <v>Sour Plum</v>
      </c>
      <c r="B111" s="113">
        <f>'Yokoco Beverage Stall'!E15</f>
        <v>0</v>
      </c>
      <c r="C111" s="123">
        <v>25000.0</v>
      </c>
      <c r="D111" s="114">
        <f t="shared" si="18"/>
        <v>0</v>
      </c>
      <c r="E111" s="124" t="s">
        <v>33</v>
      </c>
      <c r="F111" s="116"/>
    </row>
    <row r="112" ht="14.25" customHeight="1">
      <c r="A112" s="70" t="str">
        <f>'Yokoco Beverage Stall'!A20</f>
        <v>Yuzu Milk</v>
      </c>
      <c r="B112" s="113">
        <f>'Yokoco Beverage Stall'!E33</f>
        <v>8534.210526</v>
      </c>
      <c r="C112" s="113">
        <f>'Yokoco Beverage Stall'!E36</f>
        <v>25000</v>
      </c>
      <c r="D112" s="114">
        <f t="shared" si="18"/>
        <v>0.3413684211</v>
      </c>
      <c r="E112" s="124" t="s">
        <v>33</v>
      </c>
      <c r="F112" s="116"/>
    </row>
    <row r="113" ht="14.25" customHeight="1">
      <c r="A113" s="70" t="str">
        <f>'Yokoco Beverage Stall'!A38</f>
        <v>Oolong Peach</v>
      </c>
      <c r="B113" s="113">
        <f>'Yokoco Beverage Stall'!E52</f>
        <v>24753.9575</v>
      </c>
      <c r="C113" s="123">
        <v>25000.0</v>
      </c>
      <c r="D113" s="114">
        <f t="shared" si="18"/>
        <v>0.9901583</v>
      </c>
      <c r="E113" s="124" t="s">
        <v>33</v>
      </c>
      <c r="F113" s="116"/>
    </row>
    <row r="114" ht="14.25" customHeight="1">
      <c r="A114" s="70"/>
      <c r="B114" s="113"/>
      <c r="C114" s="113"/>
      <c r="D114" s="114"/>
      <c r="E114" s="116"/>
      <c r="F114" s="116"/>
    </row>
    <row r="115" ht="14.25" customHeight="1">
      <c r="A115" s="125" t="s">
        <v>333</v>
      </c>
      <c r="B115" s="126">
        <f t="shared" ref="B115:C115" si="21">IFERROR(AVERAGE(B116),0)</f>
        <v>0</v>
      </c>
      <c r="C115" s="126">
        <f t="shared" si="21"/>
        <v>0</v>
      </c>
      <c r="D115" s="127">
        <f t="shared" ref="D115:D116" si="22">IFERROR(B115/C115,0)</f>
        <v>0</v>
      </c>
      <c r="E115" s="125"/>
      <c r="F115" s="125"/>
    </row>
    <row r="116" ht="14.25" customHeight="1">
      <c r="A116" s="70" t="s">
        <v>334</v>
      </c>
      <c r="B116" s="113">
        <f>'Sando Stall'!E15</f>
        <v>0</v>
      </c>
      <c r="C116" s="113" t="str">
        <f>'Sando Stall'!E18</f>
        <v/>
      </c>
      <c r="D116" s="114">
        <f t="shared" si="22"/>
        <v>0</v>
      </c>
      <c r="E116" s="115" t="s">
        <v>82</v>
      </c>
      <c r="F116" s="116" t="s">
        <v>335</v>
      </c>
    </row>
    <row r="117" ht="14.25" customHeight="1">
      <c r="A117" s="70"/>
      <c r="B117" s="113"/>
      <c r="C117" s="113"/>
      <c r="D117" s="114"/>
      <c r="E117" s="116"/>
      <c r="F117" s="116"/>
    </row>
    <row r="118" ht="14.25" customHeight="1">
      <c r="A118" s="128" t="s">
        <v>336</v>
      </c>
      <c r="B118" s="129">
        <f>IFERROR((B2+B4+B5+B6+B7+B8+B9+B12+B13+B14+B15+B16+B19+B20+B21+B22+B23+B26+B27+B28+B29+B30+B31+B32+B33+B34+B35+B36+B37+B38+B39+B42+B43+B44+B45+B46+B47+B48+B49+B50+B51+B52+B53+B54+B57+B58+B59+B60+B61+B62+B63+B67+B68+B69+B70+B71+B72+B73+B74+B77+B78+B79+B82+B83+B84+B85+B86+B87+B90+B91+B92+B95+B96+B97+B100+B101+B102+B103+B106+B107+B108+B109+B111+B112+B113+B116)/86,0)</f>
        <v>0</v>
      </c>
      <c r="C118" s="129"/>
      <c r="D118" s="130">
        <f>IFERROR((D2+D4+D5+D6+D7+D8+D9+D12+D13+D14+D15+D16+D19+D20+D21+D22+D23+D26+D27+D28+D29+D30+D31+D32+D33+D34+D35+D36+D37+D38+D39+D42+D43+D44+D45+D46+D47+D48+D49+D50+D51+D52+D53+D54+D57+D58+D59+D60+D61+D62+D63+D67+D68+D69+D70+D71+D72+D73+D74+D77+D78+D79+D82+D83+D84+D85+D86+D87+D90+D91+D92+D95+D96+D97+D100+D101+D102+D103+D106+D107+D108+D109+D111+D112+D113+D116)/86,0)</f>
        <v>0.2268253122</v>
      </c>
      <c r="E118" s="128"/>
      <c r="F118" s="128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E3:E105">
    <cfRule type="expression" dxfId="0" priority="1">
      <formula>E3="Recipe Pending"</formula>
    </cfRule>
  </conditionalFormatting>
  <conditionalFormatting sqref="E3:E105">
    <cfRule type="expression" dxfId="1" priority="2">
      <formula>E3="Recipe Available"</formula>
    </cfRule>
  </conditionalFormatting>
  <conditionalFormatting sqref="E3:E105">
    <cfRule type="expression" dxfId="2" priority="3">
      <formula>E3="Assembly Qty Pending"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2</v>
      </c>
      <c r="B1" s="2"/>
      <c r="C1" s="2"/>
      <c r="D1" s="2"/>
      <c r="E1" s="2"/>
      <c r="F1" s="2"/>
      <c r="G1" s="3"/>
    </row>
    <row r="2">
      <c r="A2" s="4" t="s">
        <v>5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21</v>
      </c>
      <c r="B4" s="15" t="s">
        <v>24</v>
      </c>
      <c r="C4" s="17">
        <f>IFERROR(VLOOKUP(A4,'Market List'!$B:$F,5,FALSE),0)</f>
        <v>40</v>
      </c>
      <c r="D4" s="19">
        <v>85.0</v>
      </c>
      <c r="E4" s="17">
        <f t="shared" ref="E4:E11" si="1">IFERROR(C4*D4,0)</f>
        <v>3400</v>
      </c>
      <c r="F4" s="15" t="s">
        <v>27</v>
      </c>
      <c r="G4" s="24"/>
    </row>
    <row r="5" ht="14.25" customHeight="1">
      <c r="A5" s="25" t="s">
        <v>30</v>
      </c>
      <c r="B5" s="26" t="s">
        <v>24</v>
      </c>
      <c r="C5" s="28">
        <f>IFERROR(VLOOKUP(A5,'Market List'!$B:$F,5,FALSE),0)</f>
        <v>30</v>
      </c>
      <c r="D5" s="30">
        <v>15.0</v>
      </c>
      <c r="E5" s="28">
        <f t="shared" si="1"/>
        <v>450</v>
      </c>
      <c r="F5" s="26" t="s">
        <v>34</v>
      </c>
      <c r="G5" s="32"/>
    </row>
    <row r="6" ht="14.25" customHeight="1">
      <c r="A6" s="25" t="s">
        <v>36</v>
      </c>
      <c r="B6" s="26" t="s">
        <v>24</v>
      </c>
      <c r="C6" s="28">
        <f>IFERROR(VLOOKUP(A6,'Market List'!$B:$F,5,FALSE),0)</f>
        <v>20</v>
      </c>
      <c r="D6" s="30">
        <v>12.0</v>
      </c>
      <c r="E6" s="28">
        <f t="shared" si="1"/>
        <v>240</v>
      </c>
      <c r="F6" s="26" t="s">
        <v>42</v>
      </c>
      <c r="G6" s="32"/>
    </row>
    <row r="7" ht="14.25" customHeight="1">
      <c r="A7" s="25" t="s">
        <v>43</v>
      </c>
      <c r="B7" s="26" t="s">
        <v>24</v>
      </c>
      <c r="C7" s="28">
        <f>'WIP FOOD'!$B$691</f>
        <v>76.56455142</v>
      </c>
      <c r="D7" s="30">
        <v>35.0</v>
      </c>
      <c r="E7" s="28">
        <f t="shared" si="1"/>
        <v>2679.7593</v>
      </c>
      <c r="F7" s="26" t="s">
        <v>46</v>
      </c>
      <c r="G7" s="32"/>
    </row>
    <row r="8" ht="14.25" customHeight="1">
      <c r="A8" s="25" t="s">
        <v>47</v>
      </c>
      <c r="B8" s="26" t="s">
        <v>22</v>
      </c>
      <c r="C8" s="28">
        <f>IFERROR(VLOOKUP(A8,'Market List'!$B:$F,5,FALSE),0)</f>
        <v>217.92</v>
      </c>
      <c r="D8" s="30">
        <v>1.0</v>
      </c>
      <c r="E8" s="28">
        <f t="shared" si="1"/>
        <v>217.92</v>
      </c>
      <c r="F8" s="26" t="s">
        <v>51</v>
      </c>
      <c r="G8" s="32"/>
    </row>
    <row r="9" ht="14.25" customHeight="1">
      <c r="A9" s="25" t="s">
        <v>53</v>
      </c>
      <c r="B9" s="26" t="s">
        <v>24</v>
      </c>
      <c r="C9" s="28">
        <f>'WIP FOOD'!$B$218</f>
        <v>362.7209213</v>
      </c>
      <c r="D9" s="30">
        <v>1.0</v>
      </c>
      <c r="E9" s="28">
        <f t="shared" si="1"/>
        <v>362.7209213</v>
      </c>
      <c r="F9" s="26"/>
      <c r="G9" s="32"/>
    </row>
    <row r="10" ht="14.25" customHeight="1">
      <c r="A10" s="25" t="s">
        <v>54</v>
      </c>
      <c r="B10" s="26" t="s">
        <v>24</v>
      </c>
      <c r="C10" s="28">
        <f>IFERROR(VLOOKUP(A10,'Market List'!$B:$F,5,FALSE),0)</f>
        <v>91.76</v>
      </c>
      <c r="D10" s="30">
        <v>2.0</v>
      </c>
      <c r="E10" s="28">
        <f t="shared" si="1"/>
        <v>183.52</v>
      </c>
      <c r="F10" s="26"/>
      <c r="G10" s="32"/>
    </row>
    <row r="11" ht="14.25" customHeight="1">
      <c r="A11" s="36" t="s">
        <v>58</v>
      </c>
      <c r="B11" s="37" t="s">
        <v>24</v>
      </c>
      <c r="C11" s="38">
        <f>'WIP FOOD'!$B$119</f>
        <v>13.9768795</v>
      </c>
      <c r="D11" s="39">
        <v>3.0</v>
      </c>
      <c r="E11" s="38">
        <f t="shared" si="1"/>
        <v>41.9306385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7575.85086</v>
      </c>
      <c r="F13" s="48" t="s">
        <v>66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1136.377629</v>
      </c>
      <c r="F14" s="48" t="s">
        <v>69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8712.228489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11287.77151</v>
      </c>
      <c r="F16" s="48"/>
      <c r="G16" s="52"/>
    </row>
    <row r="17" ht="14.25" customHeight="1">
      <c r="A17" s="53" t="s">
        <v>73</v>
      </c>
      <c r="B17" s="48"/>
      <c r="C17" s="48"/>
      <c r="D17" s="49"/>
      <c r="E17" s="56">
        <f>IFERROR(E15/E18,0)</f>
        <v>0.4356114244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58">
        <v>20000.0</v>
      </c>
      <c r="F18" s="48"/>
      <c r="G18" s="52"/>
    </row>
    <row r="19" ht="14.25" customHeight="1">
      <c r="D19" s="60"/>
    </row>
    <row r="20">
      <c r="A20" s="4" t="s">
        <v>40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 t="s">
        <v>77</v>
      </c>
      <c r="B22" s="15" t="s">
        <v>24</v>
      </c>
      <c r="C22" s="17">
        <f>'WIP FOOD'!$B$372</f>
        <v>94.38826313</v>
      </c>
      <c r="D22" s="19">
        <v>60.0</v>
      </c>
      <c r="E22" s="17">
        <f t="shared" ref="E22:E29" si="2">IFERROR(C22*D22,0)</f>
        <v>5663.295788</v>
      </c>
      <c r="F22" s="15" t="s">
        <v>81</v>
      </c>
      <c r="G22" s="24"/>
    </row>
    <row r="23" ht="14.25" customHeight="1">
      <c r="A23" s="25" t="s">
        <v>43</v>
      </c>
      <c r="B23" s="26" t="s">
        <v>24</v>
      </c>
      <c r="C23" s="28">
        <f>'WIP FOOD'!$B$691</f>
        <v>76.56455142</v>
      </c>
      <c r="D23" s="30">
        <v>35.0</v>
      </c>
      <c r="E23" s="28">
        <f t="shared" si="2"/>
        <v>2679.7593</v>
      </c>
      <c r="F23" s="26" t="s">
        <v>86</v>
      </c>
      <c r="G23" s="32"/>
    </row>
    <row r="24" ht="14.25" customHeight="1">
      <c r="A24" s="25" t="s">
        <v>47</v>
      </c>
      <c r="B24" s="26" t="s">
        <v>22</v>
      </c>
      <c r="C24" s="28">
        <f>IFERROR(VLOOKUP(A24,'Market List'!$B:$F,5,FALSE),0)</f>
        <v>217.92</v>
      </c>
      <c r="D24" s="30">
        <v>2.0</v>
      </c>
      <c r="E24" s="28">
        <f t="shared" si="2"/>
        <v>435.84</v>
      </c>
      <c r="F24" s="26" t="s">
        <v>89</v>
      </c>
      <c r="G24" s="32"/>
    </row>
    <row r="25" ht="14.25" customHeight="1">
      <c r="A25" s="25" t="s">
        <v>53</v>
      </c>
      <c r="B25" s="26" t="s">
        <v>24</v>
      </c>
      <c r="C25" s="28">
        <f>'WIP FOOD'!$B$218</f>
        <v>362.7209213</v>
      </c>
      <c r="D25" s="30">
        <v>1.0</v>
      </c>
      <c r="E25" s="28">
        <f t="shared" si="2"/>
        <v>362.7209213</v>
      </c>
      <c r="F25" s="26"/>
      <c r="G25" s="32"/>
    </row>
    <row r="26" ht="14.25" customHeight="1">
      <c r="A26" s="25" t="s">
        <v>54</v>
      </c>
      <c r="B26" s="26" t="s">
        <v>24</v>
      </c>
      <c r="C26" s="28">
        <f>IFERROR(VLOOKUP(A26,'Market List'!$B:$F,5,FALSE),0)</f>
        <v>91.76</v>
      </c>
      <c r="D26" s="30">
        <v>2.0</v>
      </c>
      <c r="E26" s="28">
        <f t="shared" si="2"/>
        <v>183.52</v>
      </c>
      <c r="F26" s="26"/>
      <c r="G26" s="32"/>
    </row>
    <row r="27" ht="14.25" customHeight="1">
      <c r="A27" s="25" t="s">
        <v>58</v>
      </c>
      <c r="B27" s="26" t="s">
        <v>24</v>
      </c>
      <c r="C27" s="28">
        <f>'WIP FOOD'!$B$119</f>
        <v>13.9768795</v>
      </c>
      <c r="D27" s="30">
        <v>3.0</v>
      </c>
      <c r="E27" s="28">
        <f t="shared" si="2"/>
        <v>41.9306385</v>
      </c>
      <c r="F27" s="26"/>
      <c r="G27" s="32"/>
    </row>
    <row r="28" ht="14.25" customHeight="1">
      <c r="A28" s="25"/>
      <c r="B28" s="26"/>
      <c r="C28" s="28">
        <v>0.0</v>
      </c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>
        <v>0.0</v>
      </c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9367.066648</v>
      </c>
      <c r="F31" s="48" t="s">
        <v>66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1405.059997</v>
      </c>
      <c r="F32" s="48" t="s">
        <v>69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10772.12664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14227.87336</v>
      </c>
      <c r="F34" s="48"/>
      <c r="G34" s="52"/>
    </row>
    <row r="35" ht="14.25" customHeight="1">
      <c r="A35" s="53" t="s">
        <v>73</v>
      </c>
      <c r="B35" s="48"/>
      <c r="C35" s="48"/>
      <c r="D35" s="49"/>
      <c r="E35" s="56">
        <f>IFERROR(E33/E36,0)</f>
        <v>0.4308850658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58">
        <v>25000.0</v>
      </c>
      <c r="F36" s="48"/>
      <c r="G36" s="52"/>
    </row>
    <row r="37" ht="14.25" customHeight="1">
      <c r="D37" s="60"/>
    </row>
    <row r="38">
      <c r="A38" s="4" t="s">
        <v>52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 t="s">
        <v>30</v>
      </c>
      <c r="B40" s="15" t="s">
        <v>24</v>
      </c>
      <c r="C40" s="17">
        <f>IFERROR(VLOOKUP(A40,'Market List'!$B:$F,5,FALSE),0)</f>
        <v>30</v>
      </c>
      <c r="D40" s="19">
        <v>50.0</v>
      </c>
      <c r="E40" s="17">
        <f t="shared" ref="E40:E47" si="3">IFERROR(C40*D40,0)</f>
        <v>1500</v>
      </c>
      <c r="F40" s="15" t="s">
        <v>107</v>
      </c>
      <c r="G40" s="24"/>
    </row>
    <row r="41" ht="14.25" customHeight="1">
      <c r="A41" s="25" t="s">
        <v>43</v>
      </c>
      <c r="B41" s="26" t="s">
        <v>24</v>
      </c>
      <c r="C41" s="28">
        <f>'WIP FOOD'!$B$691</f>
        <v>76.56455142</v>
      </c>
      <c r="D41" s="30">
        <v>35.0</v>
      </c>
      <c r="E41" s="28">
        <f t="shared" si="3"/>
        <v>2679.7593</v>
      </c>
      <c r="F41" s="26" t="s">
        <v>109</v>
      </c>
      <c r="G41" s="32"/>
    </row>
    <row r="42" ht="14.25" customHeight="1">
      <c r="A42" s="25" t="s">
        <v>47</v>
      </c>
      <c r="B42" s="26" t="s">
        <v>22</v>
      </c>
      <c r="C42" s="28">
        <f>IFERROR(VLOOKUP(A42,'Market List'!$B:$F,5,FALSE),0)</f>
        <v>217.92</v>
      </c>
      <c r="D42" s="30">
        <v>1.0</v>
      </c>
      <c r="E42" s="28">
        <f t="shared" si="3"/>
        <v>217.92</v>
      </c>
      <c r="F42" s="26" t="s">
        <v>110</v>
      </c>
      <c r="G42" s="32"/>
    </row>
    <row r="43" ht="14.25" customHeight="1">
      <c r="A43" s="25" t="s">
        <v>53</v>
      </c>
      <c r="B43" s="26" t="s">
        <v>24</v>
      </c>
      <c r="C43" s="28">
        <f>'WIP FOOD'!$B$218</f>
        <v>362.7209213</v>
      </c>
      <c r="D43" s="30">
        <v>1.0</v>
      </c>
      <c r="E43" s="28">
        <f t="shared" si="3"/>
        <v>362.7209213</v>
      </c>
      <c r="F43" s="26"/>
      <c r="G43" s="32"/>
    </row>
    <row r="44" ht="14.25" customHeight="1">
      <c r="A44" s="25" t="s">
        <v>54</v>
      </c>
      <c r="B44" s="26" t="s">
        <v>24</v>
      </c>
      <c r="C44" s="28">
        <f>IFERROR(VLOOKUP(A44,'Market List'!$B:$F,5,FALSE),0)</f>
        <v>91.76</v>
      </c>
      <c r="D44" s="30">
        <v>2.0</v>
      </c>
      <c r="E44" s="28">
        <f t="shared" si="3"/>
        <v>183.52</v>
      </c>
      <c r="F44" s="26"/>
      <c r="G44" s="32"/>
    </row>
    <row r="45" ht="14.25" customHeight="1">
      <c r="A45" s="25" t="s">
        <v>58</v>
      </c>
      <c r="B45" s="26" t="s">
        <v>24</v>
      </c>
      <c r="C45" s="28">
        <f>'WIP FOOD'!$B$119</f>
        <v>13.9768795</v>
      </c>
      <c r="D45" s="30">
        <v>3.0</v>
      </c>
      <c r="E45" s="28">
        <f t="shared" si="3"/>
        <v>41.9306385</v>
      </c>
      <c r="F45" s="26"/>
      <c r="G45" s="32"/>
    </row>
    <row r="46" ht="14.25" customHeight="1">
      <c r="A46" s="25"/>
      <c r="B46" s="26"/>
      <c r="C46" s="28">
        <v>0.0</v>
      </c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>
        <v>0.0</v>
      </c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4985.85086</v>
      </c>
      <c r="F49" s="48" t="s">
        <v>66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747.8776289</v>
      </c>
      <c r="F50" s="48" t="s">
        <v>69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5733.728489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9266.271511</v>
      </c>
      <c r="F52" s="48"/>
      <c r="G52" s="52"/>
    </row>
    <row r="53" ht="14.25" customHeight="1">
      <c r="A53" s="53" t="s">
        <v>73</v>
      </c>
      <c r="B53" s="48"/>
      <c r="C53" s="48"/>
      <c r="D53" s="49"/>
      <c r="E53" s="56">
        <f>IFERROR(E51/E54,0)</f>
        <v>0.3822485659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58">
        <v>15000.0</v>
      </c>
      <c r="F54" s="48"/>
      <c r="G54" s="52"/>
    </row>
    <row r="55" ht="14.25" customHeight="1">
      <c r="D55" s="60"/>
    </row>
    <row r="56">
      <c r="A56" s="4" t="s">
        <v>60</v>
      </c>
    </row>
    <row r="57" ht="14.25" customHeight="1">
      <c r="A57" s="6" t="s">
        <v>8</v>
      </c>
      <c r="B57" s="8" t="s">
        <v>10</v>
      </c>
      <c r="C57" s="8" t="s">
        <v>12</v>
      </c>
      <c r="D57" s="10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 t="s">
        <v>117</v>
      </c>
      <c r="B58" s="15" t="s">
        <v>22</v>
      </c>
      <c r="C58" s="17">
        <f>IFERROR(VLOOKUP(A58,'Market List'!$B:$F,5,FALSE),0)</f>
        <v>2916.666667</v>
      </c>
      <c r="D58" s="19">
        <v>1.0</v>
      </c>
      <c r="E58" s="17">
        <f t="shared" ref="E58:E65" si="4">IFERROR(C58*D58,0)</f>
        <v>2916.666667</v>
      </c>
      <c r="F58" s="15" t="s">
        <v>118</v>
      </c>
      <c r="G58" s="24"/>
    </row>
    <row r="59" ht="14.25" customHeight="1">
      <c r="A59" s="25" t="s">
        <v>43</v>
      </c>
      <c r="B59" s="26" t="s">
        <v>24</v>
      </c>
      <c r="C59" s="28">
        <f>'WIP FOOD'!$B$691</f>
        <v>76.56455142</v>
      </c>
      <c r="D59" s="30">
        <v>35.0</v>
      </c>
      <c r="E59" s="28">
        <f t="shared" si="4"/>
        <v>2679.7593</v>
      </c>
      <c r="F59" s="26"/>
      <c r="G59" s="32"/>
    </row>
    <row r="60" ht="14.25" customHeight="1">
      <c r="A60" s="25" t="s">
        <v>47</v>
      </c>
      <c r="B60" s="26" t="s">
        <v>22</v>
      </c>
      <c r="C60" s="28">
        <f>IFERROR(VLOOKUP(A60,'Market List'!$B:$F,5,FALSE),0)</f>
        <v>217.92</v>
      </c>
      <c r="D60" s="30">
        <v>1.0</v>
      </c>
      <c r="E60" s="28">
        <f t="shared" si="4"/>
        <v>217.92</v>
      </c>
      <c r="F60" s="26"/>
      <c r="G60" s="32"/>
    </row>
    <row r="61" ht="14.25" customHeight="1">
      <c r="A61" s="25" t="s">
        <v>53</v>
      </c>
      <c r="B61" s="26" t="s">
        <v>24</v>
      </c>
      <c r="C61" s="28">
        <f>'WIP FOOD'!$B$218</f>
        <v>362.7209213</v>
      </c>
      <c r="D61" s="30">
        <v>1.0</v>
      </c>
      <c r="E61" s="28">
        <f t="shared" si="4"/>
        <v>362.7209213</v>
      </c>
      <c r="F61" s="26"/>
      <c r="G61" s="32"/>
    </row>
    <row r="62" ht="14.25" customHeight="1">
      <c r="A62" s="25" t="s">
        <v>54</v>
      </c>
      <c r="B62" s="26" t="s">
        <v>24</v>
      </c>
      <c r="C62" s="28">
        <f>IFERROR(VLOOKUP(A62,'Market List'!$B:$F,5,FALSE),0)</f>
        <v>91.76</v>
      </c>
      <c r="D62" s="30">
        <v>2.0</v>
      </c>
      <c r="E62" s="28">
        <f t="shared" si="4"/>
        <v>183.52</v>
      </c>
      <c r="F62" s="26"/>
      <c r="G62" s="32"/>
    </row>
    <row r="63" ht="14.25" customHeight="1">
      <c r="A63" s="25" t="s">
        <v>58</v>
      </c>
      <c r="B63" s="26" t="s">
        <v>24</v>
      </c>
      <c r="C63" s="28">
        <f>'WIP FOOD'!$B$119</f>
        <v>13.9768795</v>
      </c>
      <c r="D63" s="30">
        <v>3.0</v>
      </c>
      <c r="E63" s="28">
        <f t="shared" si="4"/>
        <v>41.9306385</v>
      </c>
      <c r="F63" s="26"/>
      <c r="G63" s="32"/>
    </row>
    <row r="64" ht="14.25" customHeight="1">
      <c r="A64" s="25"/>
      <c r="B64" s="26"/>
      <c r="C64" s="28">
        <v>0.0</v>
      </c>
      <c r="D64" s="30"/>
      <c r="E64" s="28">
        <f t="shared" si="4"/>
        <v>0</v>
      </c>
      <c r="F64" s="26"/>
      <c r="G64" s="32"/>
    </row>
    <row r="65" ht="14.25" customHeight="1">
      <c r="A65" s="36"/>
      <c r="B65" s="37"/>
      <c r="C65" s="38">
        <v>0.0</v>
      </c>
      <c r="D65" s="39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5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49"/>
      <c r="E67" s="51">
        <f>SUM(E58:E66)</f>
        <v>6402.517526</v>
      </c>
      <c r="F67" s="48" t="s">
        <v>66</v>
      </c>
      <c r="G67" s="52"/>
    </row>
    <row r="68" ht="14.25" customHeight="1">
      <c r="A68" s="47" t="s">
        <v>67</v>
      </c>
      <c r="B68" s="48"/>
      <c r="C68" s="48"/>
      <c r="D68" s="49"/>
      <c r="E68" s="51">
        <f>E67*15%</f>
        <v>960.3776289</v>
      </c>
      <c r="F68" s="48" t="s">
        <v>69</v>
      </c>
      <c r="G68" s="52"/>
    </row>
    <row r="69" ht="14.25" customHeight="1">
      <c r="A69" s="47" t="s">
        <v>70</v>
      </c>
      <c r="B69" s="48"/>
      <c r="C69" s="48"/>
      <c r="D69" s="49"/>
      <c r="E69" s="51">
        <f>E67+E68</f>
        <v>7362.895155</v>
      </c>
      <c r="F69" s="48"/>
      <c r="G69" s="52"/>
    </row>
    <row r="70" ht="14.25" customHeight="1">
      <c r="A70" s="47" t="s">
        <v>71</v>
      </c>
      <c r="B70" s="48"/>
      <c r="C70" s="48"/>
      <c r="D70" s="49"/>
      <c r="E70" s="51">
        <f>IF(E72&gt;0,E72-E69,0)</f>
        <v>12637.10484</v>
      </c>
      <c r="F70" s="48"/>
      <c r="G70" s="52"/>
    </row>
    <row r="71" ht="14.25" customHeight="1">
      <c r="A71" s="53" t="s">
        <v>73</v>
      </c>
      <c r="B71" s="48"/>
      <c r="C71" s="48"/>
      <c r="D71" s="49"/>
      <c r="E71" s="56">
        <f>IFERROR(E69/E72,0)</f>
        <v>0.3681447578</v>
      </c>
      <c r="F71" s="48"/>
      <c r="G71" s="52"/>
    </row>
    <row r="72" ht="14.25" customHeight="1">
      <c r="A72" s="47" t="s">
        <v>11</v>
      </c>
      <c r="B72" s="48"/>
      <c r="C72" s="48"/>
      <c r="D72" s="49"/>
      <c r="E72" s="58">
        <v>20000.0</v>
      </c>
      <c r="F72" s="48"/>
      <c r="G72" s="52"/>
    </row>
    <row r="73" ht="14.25" customHeight="1">
      <c r="D73" s="60"/>
    </row>
    <row r="74">
      <c r="A74" s="4" t="s">
        <v>63</v>
      </c>
    </row>
    <row r="75" ht="14.25" customHeight="1">
      <c r="A75" s="6" t="s">
        <v>8</v>
      </c>
      <c r="B75" s="8" t="s">
        <v>10</v>
      </c>
      <c r="C75" s="8" t="s">
        <v>12</v>
      </c>
      <c r="D75" s="10" t="s">
        <v>13</v>
      </c>
      <c r="E75" s="8" t="s">
        <v>16</v>
      </c>
      <c r="F75" s="8" t="s">
        <v>17</v>
      </c>
      <c r="G75" s="13" t="s">
        <v>18</v>
      </c>
    </row>
    <row r="76" ht="14.25" customHeight="1">
      <c r="A76" s="14" t="s">
        <v>127</v>
      </c>
      <c r="B76" s="15" t="s">
        <v>24</v>
      </c>
      <c r="C76" s="17">
        <f>IFERROR(VLOOKUP(A76,'Market List'!$B:$F,5,FALSE),0)</f>
        <v>135</v>
      </c>
      <c r="D76" s="19">
        <v>30.0</v>
      </c>
      <c r="E76" s="17">
        <f t="shared" ref="E76:E83" si="5">IFERROR(C76*D76,0)</f>
        <v>4050</v>
      </c>
      <c r="F76" s="15" t="s">
        <v>129</v>
      </c>
      <c r="G76" s="24"/>
    </row>
    <row r="77" ht="14.25" customHeight="1">
      <c r="A77" s="25" t="s">
        <v>130</v>
      </c>
      <c r="B77" s="26" t="s">
        <v>24</v>
      </c>
      <c r="C77" s="28">
        <f>IFERROR(VLOOKUP(A77,'Market List'!$B:$F,5,FALSE),0)</f>
        <v>0</v>
      </c>
      <c r="D77" s="30">
        <v>8.0</v>
      </c>
      <c r="E77" s="28">
        <f t="shared" si="5"/>
        <v>0</v>
      </c>
      <c r="F77" s="26" t="s">
        <v>132</v>
      </c>
      <c r="G77" s="32"/>
    </row>
    <row r="78" ht="14.25" customHeight="1">
      <c r="A78" s="25" t="s">
        <v>43</v>
      </c>
      <c r="B78" s="26" t="s">
        <v>24</v>
      </c>
      <c r="C78" s="28">
        <f>'WIP FOOD'!$B$691</f>
        <v>76.56455142</v>
      </c>
      <c r="D78" s="30">
        <v>35.0</v>
      </c>
      <c r="E78" s="28">
        <f t="shared" si="5"/>
        <v>2679.7593</v>
      </c>
      <c r="F78" s="26" t="s">
        <v>134</v>
      </c>
      <c r="G78" s="32"/>
    </row>
    <row r="79" ht="14.25" customHeight="1">
      <c r="A79" s="25" t="s">
        <v>47</v>
      </c>
      <c r="B79" s="26" t="s">
        <v>22</v>
      </c>
      <c r="C79" s="28">
        <f>IFERROR(VLOOKUP(A79,'Market List'!$B:$F,5,FALSE),0)</f>
        <v>217.92</v>
      </c>
      <c r="D79" s="30">
        <v>1.0</v>
      </c>
      <c r="E79" s="28">
        <f t="shared" si="5"/>
        <v>217.92</v>
      </c>
      <c r="F79" s="26" t="s">
        <v>136</v>
      </c>
      <c r="G79" s="32"/>
    </row>
    <row r="80" ht="14.25" customHeight="1">
      <c r="A80" s="25" t="s">
        <v>53</v>
      </c>
      <c r="B80" s="26" t="s">
        <v>24</v>
      </c>
      <c r="C80" s="28">
        <f>'WIP FOOD'!$B$218</f>
        <v>362.7209213</v>
      </c>
      <c r="D80" s="30">
        <v>1.0</v>
      </c>
      <c r="E80" s="28">
        <f t="shared" si="5"/>
        <v>362.7209213</v>
      </c>
      <c r="F80" s="26"/>
      <c r="G80" s="32"/>
    </row>
    <row r="81" ht="14.25" customHeight="1">
      <c r="A81" s="25" t="s">
        <v>54</v>
      </c>
      <c r="B81" s="26" t="s">
        <v>24</v>
      </c>
      <c r="C81" s="28">
        <f>IFERROR(VLOOKUP(A81,'Market List'!$B:$F,5,FALSE),0)</f>
        <v>91.76</v>
      </c>
      <c r="D81" s="30">
        <v>2.0</v>
      </c>
      <c r="E81" s="28">
        <f t="shared" si="5"/>
        <v>183.52</v>
      </c>
      <c r="F81" s="26"/>
      <c r="G81" s="32"/>
    </row>
    <row r="82" ht="14.25" customHeight="1">
      <c r="A82" s="25" t="s">
        <v>58</v>
      </c>
      <c r="B82" s="26" t="s">
        <v>24</v>
      </c>
      <c r="C82" s="28">
        <f>'WIP FOOD'!$B$119</f>
        <v>13.9768795</v>
      </c>
      <c r="D82" s="30">
        <v>3.0</v>
      </c>
      <c r="E82" s="28">
        <f t="shared" si="5"/>
        <v>41.9306385</v>
      </c>
      <c r="F82" s="26"/>
      <c r="G82" s="32"/>
    </row>
    <row r="83" ht="14.25" customHeight="1">
      <c r="A83" s="36"/>
      <c r="B83" s="37"/>
      <c r="C83" s="38">
        <v>0.0</v>
      </c>
      <c r="D83" s="39"/>
      <c r="E83" s="38">
        <f t="shared" si="5"/>
        <v>0</v>
      </c>
      <c r="F83" s="37"/>
      <c r="G83" s="41"/>
    </row>
    <row r="84" ht="14.25" customHeight="1">
      <c r="A84" s="42" t="s">
        <v>62</v>
      </c>
      <c r="B84" s="43"/>
      <c r="C84" s="43"/>
      <c r="D84" s="45"/>
      <c r="E84" s="43">
        <v>0.0</v>
      </c>
      <c r="F84" s="43"/>
      <c r="G84" s="46"/>
    </row>
    <row r="85" ht="14.25" customHeight="1">
      <c r="A85" s="47" t="s">
        <v>64</v>
      </c>
      <c r="B85" s="48"/>
      <c r="C85" s="48"/>
      <c r="D85" s="49"/>
      <c r="E85" s="51">
        <f>SUM(E76:E84)</f>
        <v>7535.85086</v>
      </c>
      <c r="F85" s="48" t="s">
        <v>66</v>
      </c>
      <c r="G85" s="52"/>
    </row>
    <row r="86" ht="14.25" customHeight="1">
      <c r="A86" s="47" t="s">
        <v>67</v>
      </c>
      <c r="B86" s="48"/>
      <c r="C86" s="48"/>
      <c r="D86" s="49"/>
      <c r="E86" s="51">
        <f>E85*15%</f>
        <v>1130.377629</v>
      </c>
      <c r="F86" s="48" t="s">
        <v>69</v>
      </c>
      <c r="G86" s="52"/>
    </row>
    <row r="87" ht="14.25" customHeight="1">
      <c r="A87" s="47" t="s">
        <v>70</v>
      </c>
      <c r="B87" s="48"/>
      <c r="C87" s="48"/>
      <c r="D87" s="49"/>
      <c r="E87" s="51">
        <f>E85+E86</f>
        <v>8666.228489</v>
      </c>
      <c r="F87" s="48"/>
      <c r="G87" s="52"/>
    </row>
    <row r="88" ht="14.25" customHeight="1">
      <c r="A88" s="47" t="s">
        <v>71</v>
      </c>
      <c r="B88" s="48"/>
      <c r="C88" s="48"/>
      <c r="D88" s="49"/>
      <c r="E88" s="51">
        <f>IF(E90&gt;0,E90-E87,0)</f>
        <v>16333.77151</v>
      </c>
      <c r="F88" s="48"/>
      <c r="G88" s="52"/>
    </row>
    <row r="89" ht="14.25" customHeight="1">
      <c r="A89" s="53" t="s">
        <v>73</v>
      </c>
      <c r="B89" s="48"/>
      <c r="C89" s="48"/>
      <c r="D89" s="49"/>
      <c r="E89" s="56">
        <f>IFERROR(E87/E90,0)</f>
        <v>0.3466491395</v>
      </c>
      <c r="F89" s="48"/>
      <c r="G89" s="52"/>
    </row>
    <row r="90" ht="14.25" customHeight="1">
      <c r="A90" s="47" t="s">
        <v>11</v>
      </c>
      <c r="B90" s="48"/>
      <c r="C90" s="48"/>
      <c r="D90" s="49"/>
      <c r="E90" s="58">
        <v>25000.0</v>
      </c>
      <c r="F90" s="48"/>
      <c r="G90" s="52"/>
    </row>
    <row r="91" ht="14.25" customHeight="1">
      <c r="D91" s="60"/>
    </row>
    <row r="92">
      <c r="A92" s="4" t="s">
        <v>68</v>
      </c>
    </row>
    <row r="93" ht="14.25" customHeight="1">
      <c r="A93" s="6" t="s">
        <v>8</v>
      </c>
      <c r="B93" s="8" t="s">
        <v>10</v>
      </c>
      <c r="C93" s="8" t="s">
        <v>12</v>
      </c>
      <c r="D93" s="10" t="s">
        <v>13</v>
      </c>
      <c r="E93" s="8" t="s">
        <v>16</v>
      </c>
      <c r="F93" s="8" t="s">
        <v>17</v>
      </c>
      <c r="G93" s="13" t="s">
        <v>18</v>
      </c>
    </row>
    <row r="94" ht="14.25" customHeight="1">
      <c r="A94" s="14" t="s">
        <v>127</v>
      </c>
      <c r="B94" s="15" t="s">
        <v>24</v>
      </c>
      <c r="C94" s="17">
        <f>IFERROR(VLOOKUP(A94,'Market List'!$B:$F,5,FALSE),0)</f>
        <v>135</v>
      </c>
      <c r="D94" s="19">
        <v>30.0</v>
      </c>
      <c r="E94" s="17">
        <f t="shared" ref="E94:E101" si="6">IFERROR(C94*D94,0)</f>
        <v>4050</v>
      </c>
      <c r="F94" s="15" t="s">
        <v>146</v>
      </c>
      <c r="G94" s="24"/>
    </row>
    <row r="95" ht="14.25" customHeight="1">
      <c r="A95" s="25" t="s">
        <v>147</v>
      </c>
      <c r="B95" s="26" t="s">
        <v>148</v>
      </c>
      <c r="C95" s="28">
        <f>IFERROR(VLOOKUP(A95,'Market List'!$B:$F,5,FALSE),0)</f>
        <v>299.2592593</v>
      </c>
      <c r="D95" s="30">
        <v>1.0</v>
      </c>
      <c r="E95" s="28">
        <f t="shared" si="6"/>
        <v>299.2592593</v>
      </c>
      <c r="F95" s="26" t="s">
        <v>150</v>
      </c>
      <c r="G95" s="32"/>
    </row>
    <row r="96" ht="14.25" customHeight="1">
      <c r="A96" s="25" t="s">
        <v>43</v>
      </c>
      <c r="B96" s="26" t="s">
        <v>24</v>
      </c>
      <c r="C96" s="28">
        <f>'WIP FOOD'!$B$691</f>
        <v>76.56455142</v>
      </c>
      <c r="D96" s="30">
        <v>35.0</v>
      </c>
      <c r="E96" s="28">
        <f t="shared" si="6"/>
        <v>2679.7593</v>
      </c>
      <c r="F96" s="26" t="s">
        <v>134</v>
      </c>
      <c r="G96" s="32"/>
    </row>
    <row r="97" ht="14.25" customHeight="1">
      <c r="A97" s="25" t="s">
        <v>53</v>
      </c>
      <c r="B97" s="26" t="s">
        <v>24</v>
      </c>
      <c r="C97" s="28">
        <f>'WIP FOOD'!$B$218</f>
        <v>362.7209213</v>
      </c>
      <c r="D97" s="30">
        <v>1.0</v>
      </c>
      <c r="E97" s="28">
        <f t="shared" si="6"/>
        <v>362.7209213</v>
      </c>
      <c r="F97" s="26" t="s">
        <v>136</v>
      </c>
      <c r="G97" s="32"/>
    </row>
    <row r="98" ht="14.25" customHeight="1">
      <c r="A98" s="25" t="s">
        <v>54</v>
      </c>
      <c r="B98" s="26" t="s">
        <v>24</v>
      </c>
      <c r="C98" s="28">
        <f>IFERROR(VLOOKUP(A98,'Market List'!$B:$F,5,FALSE),0)</f>
        <v>91.76</v>
      </c>
      <c r="D98" s="30">
        <v>2.0</v>
      </c>
      <c r="E98" s="28">
        <f t="shared" si="6"/>
        <v>183.52</v>
      </c>
      <c r="F98" s="26"/>
      <c r="G98" s="32"/>
    </row>
    <row r="99" ht="14.25" customHeight="1">
      <c r="A99" s="25" t="s">
        <v>58</v>
      </c>
      <c r="B99" s="26" t="s">
        <v>24</v>
      </c>
      <c r="C99" s="28">
        <f>'WIP FOOD'!$B$119</f>
        <v>13.9768795</v>
      </c>
      <c r="D99" s="30">
        <v>3.0</v>
      </c>
      <c r="E99" s="28">
        <f t="shared" si="6"/>
        <v>41.9306385</v>
      </c>
      <c r="F99" s="26"/>
      <c r="G99" s="32"/>
    </row>
    <row r="100" ht="14.25" customHeight="1">
      <c r="A100" s="25"/>
      <c r="B100" s="26"/>
      <c r="C100" s="28">
        <v>0.0</v>
      </c>
      <c r="D100" s="30"/>
      <c r="E100" s="28">
        <f t="shared" si="6"/>
        <v>0</v>
      </c>
      <c r="F100" s="26"/>
      <c r="G100" s="32"/>
    </row>
    <row r="101" ht="14.25" customHeight="1">
      <c r="A101" s="36"/>
      <c r="B101" s="37"/>
      <c r="C101" s="38">
        <v>0.0</v>
      </c>
      <c r="D101" s="39"/>
      <c r="E101" s="38">
        <f t="shared" si="6"/>
        <v>0</v>
      </c>
      <c r="F101" s="37"/>
      <c r="G101" s="41"/>
    </row>
    <row r="102" ht="14.25" customHeight="1">
      <c r="A102" s="42" t="s">
        <v>62</v>
      </c>
      <c r="B102" s="43"/>
      <c r="C102" s="43"/>
      <c r="D102" s="45"/>
      <c r="E102" s="43">
        <v>0.0</v>
      </c>
      <c r="F102" s="43"/>
      <c r="G102" s="46"/>
    </row>
    <row r="103" ht="14.25" customHeight="1">
      <c r="A103" s="47" t="s">
        <v>64</v>
      </c>
      <c r="B103" s="48"/>
      <c r="C103" s="48"/>
      <c r="D103" s="49"/>
      <c r="E103" s="51">
        <f>SUM(E94:E102)</f>
        <v>7617.190119</v>
      </c>
      <c r="F103" s="48" t="s">
        <v>66</v>
      </c>
      <c r="G103" s="52"/>
    </row>
    <row r="104" ht="14.25" customHeight="1">
      <c r="A104" s="47" t="s">
        <v>67</v>
      </c>
      <c r="B104" s="48"/>
      <c r="C104" s="48"/>
      <c r="D104" s="49"/>
      <c r="E104" s="51">
        <f>E103*15%</f>
        <v>1142.578518</v>
      </c>
      <c r="F104" s="48" t="s">
        <v>69</v>
      </c>
      <c r="G104" s="52"/>
    </row>
    <row r="105" ht="14.25" customHeight="1">
      <c r="A105" s="47" t="s">
        <v>70</v>
      </c>
      <c r="B105" s="48"/>
      <c r="C105" s="48"/>
      <c r="D105" s="49"/>
      <c r="E105" s="51">
        <f>E103+E104</f>
        <v>8759.768637</v>
      </c>
      <c r="F105" s="48"/>
      <c r="G105" s="52"/>
    </row>
    <row r="106" ht="14.25" customHeight="1">
      <c r="A106" s="47" t="s">
        <v>71</v>
      </c>
      <c r="B106" s="48"/>
      <c r="C106" s="48"/>
      <c r="D106" s="49"/>
      <c r="E106" s="51">
        <f>IF(E108&gt;0,E108-E105,0)</f>
        <v>16240.23136</v>
      </c>
      <c r="F106" s="48"/>
      <c r="G106" s="52"/>
    </row>
    <row r="107" ht="14.25" customHeight="1">
      <c r="A107" s="53" t="s">
        <v>73</v>
      </c>
      <c r="B107" s="48"/>
      <c r="C107" s="48"/>
      <c r="D107" s="49"/>
      <c r="E107" s="56">
        <f>IFERROR(E105/E108,0)</f>
        <v>0.3503907455</v>
      </c>
      <c r="F107" s="48"/>
      <c r="G107" s="52"/>
    </row>
    <row r="108" ht="14.25" customHeight="1">
      <c r="A108" s="47" t="s">
        <v>11</v>
      </c>
      <c r="B108" s="48"/>
      <c r="C108" s="48"/>
      <c r="D108" s="49"/>
      <c r="E108" s="58">
        <v>25000.0</v>
      </c>
      <c r="F108" s="48"/>
      <c r="G108" s="52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20:G20"/>
    <mergeCell ref="A38:G38"/>
    <mergeCell ref="A56:G56"/>
    <mergeCell ref="A74:G74"/>
    <mergeCell ref="A92:G9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3</v>
      </c>
      <c r="B1" s="2"/>
      <c r="C1" s="2"/>
      <c r="D1" s="2"/>
      <c r="E1" s="2"/>
      <c r="F1" s="2"/>
      <c r="G1" s="3"/>
    </row>
    <row r="2">
      <c r="A2" s="4" t="s">
        <v>6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20</v>
      </c>
      <c r="B4" s="15" t="s">
        <v>23</v>
      </c>
      <c r="C4" s="17">
        <f>'WIP FOOD'!$B$28</f>
        <v>546.0819048</v>
      </c>
      <c r="D4" s="19">
        <v>5.0</v>
      </c>
      <c r="E4" s="17">
        <f t="shared" ref="E4:E12" si="1">IFERROR(C4*D4,0)</f>
        <v>2730.409524</v>
      </c>
      <c r="F4" s="15" t="s">
        <v>26</v>
      </c>
      <c r="G4" s="24"/>
    </row>
    <row r="5" ht="14.25" customHeight="1">
      <c r="A5" s="25" t="s">
        <v>28</v>
      </c>
      <c r="B5" s="26" t="s">
        <v>31</v>
      </c>
      <c r="C5" s="28">
        <f>IFERROR(VLOOKUP(A5,'Market List'!$B:$F,5,FALSE),0)</f>
        <v>148</v>
      </c>
      <c r="D5" s="30">
        <v>25.0</v>
      </c>
      <c r="E5" s="28">
        <f t="shared" si="1"/>
        <v>3700</v>
      </c>
      <c r="F5" s="26"/>
      <c r="G5" s="32"/>
    </row>
    <row r="6" ht="14.25" customHeight="1">
      <c r="A6" s="25" t="s">
        <v>38</v>
      </c>
      <c r="B6" s="26"/>
      <c r="C6" s="28">
        <f>IFERROR(VLOOKUP(A6,'Market List'!$B:$F,5,FALSE),0)</f>
        <v>185</v>
      </c>
      <c r="D6" s="30">
        <v>25.0</v>
      </c>
      <c r="E6" s="28">
        <f t="shared" si="1"/>
        <v>4625</v>
      </c>
      <c r="F6" s="26"/>
      <c r="G6" s="32"/>
    </row>
    <row r="7" ht="14.25" customHeight="1">
      <c r="A7" s="25" t="s">
        <v>44</v>
      </c>
      <c r="B7" s="26" t="s">
        <v>45</v>
      </c>
      <c r="C7" s="28">
        <f>IFERROR(VLOOKUP(A7,'Market List'!$B:$F,5,FALSE),0)</f>
        <v>496</v>
      </c>
      <c r="D7" s="30">
        <v>1.0</v>
      </c>
      <c r="E7" s="28">
        <f t="shared" si="1"/>
        <v>496</v>
      </c>
      <c r="F7" s="26"/>
      <c r="G7" s="32"/>
    </row>
    <row r="8" ht="14.25" customHeight="1">
      <c r="A8" s="25" t="s">
        <v>36</v>
      </c>
      <c r="B8" s="26" t="s">
        <v>45</v>
      </c>
      <c r="C8" s="28">
        <f>IFERROR(VLOOKUP(A8,'Market List'!$B:$F,5,FALSE),0)</f>
        <v>20</v>
      </c>
      <c r="D8" s="30">
        <v>5.0</v>
      </c>
      <c r="E8" s="28">
        <f t="shared" si="1"/>
        <v>100</v>
      </c>
      <c r="F8" s="26"/>
      <c r="G8" s="32"/>
    </row>
    <row r="9" ht="14.25" customHeight="1">
      <c r="A9" s="25" t="s">
        <v>55</v>
      </c>
      <c r="B9" s="26" t="s">
        <v>45</v>
      </c>
      <c r="C9" s="28">
        <f>IFERROR(VLOOKUP(A9,'Market List'!$B:$F,5,FALSE),0)</f>
        <v>0</v>
      </c>
      <c r="D9" s="30">
        <v>20.0</v>
      </c>
      <c r="E9" s="28">
        <f t="shared" si="1"/>
        <v>0</v>
      </c>
      <c r="F9" s="26"/>
      <c r="G9" s="32"/>
    </row>
    <row r="10" ht="14.25" customHeight="1">
      <c r="A10" s="25" t="s">
        <v>35</v>
      </c>
      <c r="B10" s="26"/>
      <c r="C10" s="28">
        <f>'WIP FOOD'!$B$452</f>
        <v>74.82275545</v>
      </c>
      <c r="D10" s="30">
        <v>15.0</v>
      </c>
      <c r="E10" s="28">
        <f t="shared" si="1"/>
        <v>1122.341332</v>
      </c>
      <c r="F10" s="26"/>
      <c r="G10" s="32"/>
    </row>
    <row r="11" ht="14.25" customHeight="1">
      <c r="A11" s="36" t="s">
        <v>41</v>
      </c>
      <c r="B11" s="37"/>
      <c r="C11" s="38">
        <f>IFERROR(VLOOKUP(A11,'Market List'!$B:$F,5,FALSE),0)</f>
        <v>72.3</v>
      </c>
      <c r="D11" s="39">
        <v>15.0</v>
      </c>
      <c r="E11" s="38">
        <f t="shared" si="1"/>
        <v>1084.5</v>
      </c>
      <c r="F11" s="37"/>
      <c r="G11" s="41"/>
    </row>
    <row r="12" ht="14.25" customHeight="1">
      <c r="A12" s="36" t="s">
        <v>50</v>
      </c>
      <c r="B12" s="37" t="s">
        <v>45</v>
      </c>
      <c r="C12" s="38">
        <f>IFERROR(VLOOKUP(A12,'Market List'!$B:$F,5,FALSE),0)</f>
        <v>478.3989</v>
      </c>
      <c r="D12" s="39">
        <v>1.0</v>
      </c>
      <c r="E12" s="38">
        <f t="shared" si="1"/>
        <v>478.3989</v>
      </c>
      <c r="F12" s="37"/>
      <c r="G12" s="41"/>
    </row>
    <row r="13" ht="14.25" customHeight="1">
      <c r="A13" s="36"/>
      <c r="B13" s="37"/>
      <c r="C13" s="38"/>
      <c r="D13" s="39"/>
      <c r="E13" s="38"/>
      <c r="F13" s="37"/>
      <c r="G13" s="41"/>
    </row>
    <row r="14" ht="14.25" customHeight="1">
      <c r="A14" s="36"/>
      <c r="B14" s="37"/>
      <c r="C14" s="38"/>
      <c r="D14" s="39"/>
      <c r="E14" s="38"/>
      <c r="F14" s="37"/>
      <c r="G14" s="41"/>
    </row>
    <row r="15" ht="14.25" customHeight="1">
      <c r="A15" s="42" t="s">
        <v>62</v>
      </c>
      <c r="B15" s="43"/>
      <c r="C15" s="43"/>
      <c r="D15" s="45"/>
      <c r="E15" s="43">
        <v>0.0</v>
      </c>
      <c r="F15" s="43"/>
      <c r="G15" s="46"/>
    </row>
    <row r="16" ht="14.25" customHeight="1">
      <c r="A16" s="47" t="s">
        <v>64</v>
      </c>
      <c r="B16" s="48"/>
      <c r="C16" s="48"/>
      <c r="D16" s="49"/>
      <c r="E16" s="51">
        <f>SUM(E4:E15)</f>
        <v>14336.64976</v>
      </c>
      <c r="F16" s="48" t="s">
        <v>74</v>
      </c>
      <c r="G16" s="52"/>
    </row>
    <row r="17" ht="14.25" customHeight="1">
      <c r="A17" s="47" t="s">
        <v>67</v>
      </c>
      <c r="B17" s="48"/>
      <c r="C17" s="48"/>
      <c r="D17" s="49"/>
      <c r="E17" s="51">
        <f>E16*15%</f>
        <v>2150.497463</v>
      </c>
      <c r="F17" s="48" t="s">
        <v>76</v>
      </c>
      <c r="G17" s="52"/>
    </row>
    <row r="18" ht="14.25" customHeight="1">
      <c r="A18" s="47" t="s">
        <v>70</v>
      </c>
      <c r="B18" s="48"/>
      <c r="C18" s="48"/>
      <c r="D18" s="49"/>
      <c r="E18" s="51">
        <f>E16+E17</f>
        <v>16487.14722</v>
      </c>
      <c r="F18" s="48"/>
      <c r="G18" s="52"/>
    </row>
    <row r="19" ht="14.25" customHeight="1">
      <c r="A19" s="47" t="s">
        <v>71</v>
      </c>
      <c r="B19" s="48"/>
      <c r="C19" s="48"/>
      <c r="D19" s="49"/>
      <c r="E19" s="51">
        <f>IF(E21&gt;0,E21-E18,0)</f>
        <v>43512.85278</v>
      </c>
      <c r="F19" s="48"/>
      <c r="G19" s="52"/>
    </row>
    <row r="20" ht="14.25" customHeight="1">
      <c r="A20" s="53" t="s">
        <v>73</v>
      </c>
      <c r="B20" s="48"/>
      <c r="C20" s="48"/>
      <c r="D20" s="49"/>
      <c r="E20" s="56">
        <f>IFERROR(E18/E21,0)</f>
        <v>0.274785787</v>
      </c>
      <c r="F20" s="48"/>
      <c r="G20" s="52"/>
    </row>
    <row r="21" ht="14.25" customHeight="1">
      <c r="A21" s="47" t="s">
        <v>11</v>
      </c>
      <c r="B21" s="48"/>
      <c r="C21" s="48"/>
      <c r="D21" s="49"/>
      <c r="E21" s="58">
        <v>60000.0</v>
      </c>
      <c r="F21" s="48"/>
      <c r="G21" s="52"/>
    </row>
    <row r="22" ht="14.25" customHeight="1">
      <c r="D22" s="60"/>
    </row>
    <row r="23">
      <c r="A23" s="4" t="s">
        <v>87</v>
      </c>
    </row>
    <row r="24" ht="14.25" customHeight="1">
      <c r="A24" s="6" t="s">
        <v>8</v>
      </c>
      <c r="B24" s="8" t="s">
        <v>10</v>
      </c>
      <c r="C24" s="8" t="s">
        <v>12</v>
      </c>
      <c r="D24" s="10" t="s">
        <v>13</v>
      </c>
      <c r="E24" s="8" t="s">
        <v>16</v>
      </c>
      <c r="F24" s="8" t="s">
        <v>17</v>
      </c>
      <c r="G24" s="13" t="s">
        <v>18</v>
      </c>
    </row>
    <row r="25" ht="14.25" customHeight="1">
      <c r="A25" s="14" t="s">
        <v>92</v>
      </c>
      <c r="B25" s="15" t="s">
        <v>24</v>
      </c>
      <c r="C25" s="17">
        <f>IFERROR(VLOOKUP(A25,'Market List'!$B:$F,5,FALSE),0)</f>
        <v>13</v>
      </c>
      <c r="D25" s="19"/>
      <c r="E25" s="17">
        <f t="shared" ref="E25:E32" si="2">IFERROR(C25*D25,0)</f>
        <v>0</v>
      </c>
      <c r="F25" s="15" t="s">
        <v>26</v>
      </c>
      <c r="G25" s="24"/>
    </row>
    <row r="26" ht="14.25" customHeight="1">
      <c r="A26" s="25" t="s">
        <v>96</v>
      </c>
      <c r="B26" s="26" t="s">
        <v>24</v>
      </c>
      <c r="C26" s="28">
        <f>IFERROR(VLOOKUP(A26,'Market List'!$B:$F,5,FALSE),0)</f>
        <v>20</v>
      </c>
      <c r="D26" s="30"/>
      <c r="E26" s="28">
        <f t="shared" si="2"/>
        <v>0</v>
      </c>
      <c r="F26" s="26"/>
      <c r="G26" s="32"/>
    </row>
    <row r="27" ht="14.25" customHeight="1">
      <c r="A27" s="25" t="s">
        <v>99</v>
      </c>
      <c r="B27" s="26" t="s">
        <v>24</v>
      </c>
      <c r="C27" s="28">
        <f>IFERROR(VLOOKUP(A27,'Market List'!$B:$F,5,FALSE),0)</f>
        <v>0</v>
      </c>
      <c r="D27" s="30"/>
      <c r="E27" s="28">
        <f t="shared" si="2"/>
        <v>0</v>
      </c>
      <c r="F27" s="26"/>
      <c r="G27" s="32"/>
    </row>
    <row r="28" ht="14.25" customHeight="1">
      <c r="A28" s="25" t="s">
        <v>101</v>
      </c>
      <c r="B28" s="26" t="s">
        <v>24</v>
      </c>
      <c r="C28" s="28">
        <f>IFERROR(VLOOKUP(A28,'Market List'!$B:$F,5,FALSE),0)</f>
        <v>65</v>
      </c>
      <c r="D28" s="30"/>
      <c r="E28" s="28">
        <f t="shared" si="2"/>
        <v>0</v>
      </c>
      <c r="F28" s="26"/>
      <c r="G28" s="32"/>
    </row>
    <row r="29" ht="14.25" customHeight="1">
      <c r="A29" s="25" t="s">
        <v>103</v>
      </c>
      <c r="B29" s="26" t="s">
        <v>24</v>
      </c>
      <c r="C29" s="28">
        <f>IFERROR(VLOOKUP(A29,'Market List'!$B:$F,5,FALSE),0)</f>
        <v>35</v>
      </c>
      <c r="D29" s="30"/>
      <c r="E29" s="28">
        <f t="shared" si="2"/>
        <v>0</v>
      </c>
      <c r="F29" s="26"/>
      <c r="G29" s="32"/>
    </row>
    <row r="30" ht="14.25" customHeight="1">
      <c r="A30" s="25" t="s">
        <v>105</v>
      </c>
      <c r="B30" s="26" t="s">
        <v>24</v>
      </c>
      <c r="C30" s="28">
        <f>IFERROR(VLOOKUP(A30,'Market List'!$B:$F,5,FALSE),0)</f>
        <v>135</v>
      </c>
      <c r="D30" s="30"/>
      <c r="E30" s="28">
        <f t="shared" si="2"/>
        <v>0</v>
      </c>
      <c r="F30" s="26"/>
      <c r="G30" s="32"/>
    </row>
    <row r="31" ht="14.25" customHeight="1">
      <c r="A31" s="25"/>
      <c r="B31" s="26"/>
      <c r="C31" s="28"/>
      <c r="D31" s="30"/>
      <c r="E31" s="28">
        <f t="shared" si="2"/>
        <v>0</v>
      </c>
      <c r="F31" s="26"/>
      <c r="G31" s="32"/>
    </row>
    <row r="32" ht="14.25" customHeight="1">
      <c r="A32" s="36"/>
      <c r="B32" s="37"/>
      <c r="C32" s="38"/>
      <c r="D32" s="39"/>
      <c r="E32" s="38">
        <f t="shared" si="2"/>
        <v>0</v>
      </c>
      <c r="F32" s="37"/>
      <c r="G32" s="41"/>
    </row>
    <row r="33" ht="14.25" customHeight="1">
      <c r="A33" s="42" t="s">
        <v>62</v>
      </c>
      <c r="B33" s="43"/>
      <c r="C33" s="43"/>
      <c r="D33" s="45"/>
      <c r="E33" s="43">
        <v>0.0</v>
      </c>
      <c r="F33" s="43"/>
      <c r="G33" s="46"/>
    </row>
    <row r="34" ht="14.25" customHeight="1">
      <c r="A34" s="47" t="s">
        <v>64</v>
      </c>
      <c r="B34" s="48"/>
      <c r="C34" s="48"/>
      <c r="D34" s="49"/>
      <c r="E34" s="51">
        <f>SUM(E25:E33)</f>
        <v>0</v>
      </c>
      <c r="F34" s="48" t="s">
        <v>74</v>
      </c>
      <c r="G34" s="52"/>
    </row>
    <row r="35" ht="14.25" customHeight="1">
      <c r="A35" s="47" t="s">
        <v>67</v>
      </c>
      <c r="B35" s="48"/>
      <c r="C35" s="48"/>
      <c r="D35" s="49"/>
      <c r="E35" s="51">
        <f>E34*15%</f>
        <v>0</v>
      </c>
      <c r="F35" s="48" t="s">
        <v>76</v>
      </c>
      <c r="G35" s="52"/>
    </row>
    <row r="36" ht="14.25" customHeight="1">
      <c r="A36" s="47" t="s">
        <v>70</v>
      </c>
      <c r="B36" s="48"/>
      <c r="C36" s="48"/>
      <c r="D36" s="49"/>
      <c r="E36" s="51">
        <f>E34+E35</f>
        <v>0</v>
      </c>
      <c r="F36" s="48"/>
      <c r="G36" s="52"/>
    </row>
    <row r="37" ht="14.25" customHeight="1">
      <c r="A37" s="47" t="s">
        <v>71</v>
      </c>
      <c r="B37" s="48"/>
      <c r="C37" s="48"/>
      <c r="D37" s="49"/>
      <c r="E37" s="51">
        <f>IF(E39&gt;0,E39-E36,0)</f>
        <v>65000</v>
      </c>
      <c r="F37" s="48"/>
      <c r="G37" s="52"/>
    </row>
    <row r="38" ht="14.25" customHeight="1">
      <c r="A38" s="53" t="s">
        <v>73</v>
      </c>
      <c r="B38" s="48"/>
      <c r="C38" s="48"/>
      <c r="D38" s="49"/>
      <c r="E38" s="56">
        <f>IFERROR(E36/E39,0)</f>
        <v>0</v>
      </c>
      <c r="F38" s="48"/>
      <c r="G38" s="52"/>
    </row>
    <row r="39" ht="14.25" customHeight="1">
      <c r="A39" s="47" t="s">
        <v>11</v>
      </c>
      <c r="B39" s="48"/>
      <c r="C39" s="48"/>
      <c r="D39" s="49"/>
      <c r="E39" s="58">
        <v>65000.0</v>
      </c>
      <c r="F39" s="48"/>
      <c r="G39" s="52"/>
    </row>
    <row r="40" ht="14.25" customHeight="1">
      <c r="D40" s="60"/>
    </row>
    <row r="41">
      <c r="A41" s="4" t="s">
        <v>91</v>
      </c>
    </row>
    <row r="42" ht="14.25" customHeight="1">
      <c r="A42" s="6" t="s">
        <v>8</v>
      </c>
      <c r="B42" s="8" t="s">
        <v>10</v>
      </c>
      <c r="C42" s="8" t="s">
        <v>12</v>
      </c>
      <c r="D42" s="10" t="s">
        <v>13</v>
      </c>
      <c r="E42" s="8" t="s">
        <v>16</v>
      </c>
      <c r="F42" s="8" t="s">
        <v>17</v>
      </c>
      <c r="G42" s="13" t="s">
        <v>18</v>
      </c>
    </row>
    <row r="43" ht="14.25" customHeight="1">
      <c r="A43" s="14" t="s">
        <v>38</v>
      </c>
      <c r="B43" s="15"/>
      <c r="C43" s="17">
        <f>IFERROR(VLOOKUP(A43,'Market List'!$B:$F,5,FALSE),0)</f>
        <v>185</v>
      </c>
      <c r="D43" s="62">
        <v>100.0</v>
      </c>
      <c r="E43" s="17">
        <f t="shared" ref="E43:E50" si="3">IFERROR(C43*D43,0)</f>
        <v>18500</v>
      </c>
      <c r="F43" s="15" t="s">
        <v>26</v>
      </c>
      <c r="G43" s="24"/>
    </row>
    <row r="44" ht="14.25" customHeight="1">
      <c r="A44" s="25"/>
      <c r="B44" s="26"/>
      <c r="C44" s="28"/>
      <c r="D44" s="30"/>
      <c r="E44" s="28">
        <f t="shared" si="3"/>
        <v>0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25"/>
      <c r="B47" s="26"/>
      <c r="C47" s="28"/>
      <c r="D47" s="30"/>
      <c r="E47" s="28">
        <f t="shared" si="3"/>
        <v>0</v>
      </c>
      <c r="F47" s="26"/>
      <c r="G47" s="32"/>
    </row>
    <row r="48" ht="14.25" customHeight="1">
      <c r="A48" s="25"/>
      <c r="B48" s="26"/>
      <c r="C48" s="28"/>
      <c r="D48" s="30"/>
      <c r="E48" s="28">
        <f t="shared" si="3"/>
        <v>0</v>
      </c>
      <c r="F48" s="26"/>
      <c r="G48" s="32"/>
    </row>
    <row r="49" ht="14.25" customHeight="1">
      <c r="A49" s="25"/>
      <c r="B49" s="26"/>
      <c r="C49" s="28"/>
      <c r="D49" s="30"/>
      <c r="E49" s="28">
        <f t="shared" si="3"/>
        <v>0</v>
      </c>
      <c r="F49" s="26"/>
      <c r="G49" s="32"/>
    </row>
    <row r="50" ht="14.25" customHeight="1">
      <c r="A50" s="36"/>
      <c r="B50" s="37"/>
      <c r="C50" s="38"/>
      <c r="D50" s="39"/>
      <c r="E50" s="38">
        <f t="shared" si="3"/>
        <v>0</v>
      </c>
      <c r="F50" s="37"/>
      <c r="G50" s="41"/>
    </row>
    <row r="51" ht="14.25" customHeight="1">
      <c r="A51" s="42" t="s">
        <v>62</v>
      </c>
      <c r="B51" s="43"/>
      <c r="C51" s="43"/>
      <c r="D51" s="45"/>
      <c r="E51" s="43">
        <v>0.0</v>
      </c>
      <c r="F51" s="43"/>
      <c r="G51" s="46"/>
    </row>
    <row r="52" ht="14.25" customHeight="1">
      <c r="A52" s="47" t="s">
        <v>64</v>
      </c>
      <c r="B52" s="48"/>
      <c r="C52" s="48"/>
      <c r="D52" s="49"/>
      <c r="E52" s="51">
        <f>SUM(E43:E51)</f>
        <v>18500</v>
      </c>
      <c r="F52" s="48" t="s">
        <v>74</v>
      </c>
      <c r="G52" s="52"/>
    </row>
    <row r="53" ht="14.25" customHeight="1">
      <c r="A53" s="47" t="s">
        <v>67</v>
      </c>
      <c r="B53" s="48"/>
      <c r="C53" s="48"/>
      <c r="D53" s="49"/>
      <c r="E53" s="51">
        <f>E52*15%</f>
        <v>2775</v>
      </c>
      <c r="F53" s="48" t="s">
        <v>76</v>
      </c>
      <c r="G53" s="52"/>
    </row>
    <row r="54" ht="14.25" customHeight="1">
      <c r="A54" s="47" t="s">
        <v>70</v>
      </c>
      <c r="B54" s="48"/>
      <c r="C54" s="48"/>
      <c r="D54" s="49"/>
      <c r="E54" s="51">
        <f>E52+E53</f>
        <v>21275</v>
      </c>
      <c r="F54" s="48"/>
      <c r="G54" s="52"/>
    </row>
    <row r="55" ht="14.25" customHeight="1">
      <c r="A55" s="47" t="s">
        <v>71</v>
      </c>
      <c r="B55" s="48"/>
      <c r="C55" s="48"/>
      <c r="D55" s="49"/>
      <c r="E55" s="51">
        <f>IF(E57&gt;0,E57-E54,0)</f>
        <v>33725</v>
      </c>
      <c r="F55" s="48"/>
      <c r="G55" s="52"/>
    </row>
    <row r="56" ht="14.25" customHeight="1">
      <c r="A56" s="53" t="s">
        <v>73</v>
      </c>
      <c r="B56" s="48"/>
      <c r="C56" s="48"/>
      <c r="D56" s="49"/>
      <c r="E56" s="56">
        <f>IFERROR(E54/E57,0)</f>
        <v>0.3868181818</v>
      </c>
      <c r="F56" s="48"/>
      <c r="G56" s="52"/>
    </row>
    <row r="57" ht="14.25" customHeight="1">
      <c r="A57" s="47" t="s">
        <v>11</v>
      </c>
      <c r="B57" s="48"/>
      <c r="C57" s="48"/>
      <c r="D57" s="49"/>
      <c r="E57" s="58">
        <v>55000.0</v>
      </c>
      <c r="F57" s="48"/>
      <c r="G57" s="52"/>
    </row>
    <row r="58" ht="14.25" customHeight="1">
      <c r="D58" s="60"/>
    </row>
    <row r="59">
      <c r="A59" s="4" t="s">
        <v>94</v>
      </c>
    </row>
    <row r="60" ht="14.25" customHeight="1">
      <c r="A60" s="6" t="s">
        <v>8</v>
      </c>
      <c r="B60" s="8" t="s">
        <v>10</v>
      </c>
      <c r="C60" s="8" t="s">
        <v>12</v>
      </c>
      <c r="D60" s="10" t="s">
        <v>13</v>
      </c>
      <c r="E60" s="8" t="s">
        <v>16</v>
      </c>
      <c r="F60" s="8" t="s">
        <v>17</v>
      </c>
      <c r="G60" s="13" t="s">
        <v>18</v>
      </c>
    </row>
    <row r="61" ht="14.25" customHeight="1">
      <c r="A61" s="14" t="s">
        <v>122</v>
      </c>
      <c r="B61" s="15" t="s">
        <v>24</v>
      </c>
      <c r="C61" s="17">
        <f>'WIP FOOD'!$B$17</f>
        <v>2346.198413</v>
      </c>
      <c r="D61" s="19"/>
      <c r="E61" s="17">
        <f t="shared" ref="E61:E68" si="4">IFERROR(C61*D61,0)</f>
        <v>0</v>
      </c>
      <c r="F61" s="15" t="s">
        <v>26</v>
      </c>
      <c r="G61" s="24"/>
    </row>
    <row r="62" ht="14.25" customHeight="1">
      <c r="A62" s="25" t="s">
        <v>92</v>
      </c>
      <c r="B62" s="26" t="s">
        <v>24</v>
      </c>
      <c r="C62" s="28">
        <f>IFERROR(VLOOKUP(A62,'Market List'!$B:$F,5,FALSE),0)</f>
        <v>13</v>
      </c>
      <c r="D62" s="30"/>
      <c r="E62" s="28">
        <f t="shared" si="4"/>
        <v>0</v>
      </c>
      <c r="F62" s="26"/>
      <c r="G62" s="32"/>
    </row>
    <row r="63" ht="14.25" customHeight="1">
      <c r="A63" s="25" t="s">
        <v>36</v>
      </c>
      <c r="B63" s="26" t="s">
        <v>24</v>
      </c>
      <c r="C63" s="28">
        <f>IFERROR(VLOOKUP(A63,'Market List'!$B:$F,5,FALSE),0)</f>
        <v>20</v>
      </c>
      <c r="D63" s="30"/>
      <c r="E63" s="28">
        <f t="shared" si="4"/>
        <v>0</v>
      </c>
      <c r="F63" s="26"/>
      <c r="G63" s="32"/>
    </row>
    <row r="64" ht="14.25" customHeight="1">
      <c r="A64" s="25" t="s">
        <v>44</v>
      </c>
      <c r="B64" s="26" t="s">
        <v>24</v>
      </c>
      <c r="C64" s="28">
        <f>IFERROR(VLOOKUP(A64,'Market List'!$B:$F,5,FALSE),0)</f>
        <v>496</v>
      </c>
      <c r="D64" s="30"/>
      <c r="E64" s="28">
        <f t="shared" si="4"/>
        <v>0</v>
      </c>
      <c r="F64" s="26"/>
      <c r="G64" s="32"/>
    </row>
    <row r="65" ht="14.25" customHeight="1">
      <c r="A65" s="25" t="s">
        <v>35</v>
      </c>
      <c r="B65" s="26"/>
      <c r="C65" s="28">
        <f>'WIP FOOD'!$B$452</f>
        <v>74.82275545</v>
      </c>
      <c r="D65" s="30"/>
      <c r="E65" s="28">
        <f t="shared" si="4"/>
        <v>0</v>
      </c>
      <c r="F65" s="26"/>
      <c r="G65" s="32"/>
    </row>
    <row r="66" ht="14.25" customHeight="1">
      <c r="A66" s="25" t="s">
        <v>41</v>
      </c>
      <c r="B66" s="26"/>
      <c r="C66" s="28">
        <f>IFERROR(VLOOKUP(A66,'Market List'!$B:$F,5,FALSE),0)</f>
        <v>72.3</v>
      </c>
      <c r="D66" s="30"/>
      <c r="E66" s="28">
        <f t="shared" si="4"/>
        <v>0</v>
      </c>
      <c r="F66" s="26"/>
      <c r="G66" s="32"/>
    </row>
    <row r="67" ht="14.25" customHeight="1">
      <c r="A67" s="25" t="s">
        <v>38</v>
      </c>
      <c r="B67" s="26"/>
      <c r="C67" s="28">
        <f>IFERROR(VLOOKUP(A67,'Market List'!$B:$F,5,FALSE),0)</f>
        <v>185</v>
      </c>
      <c r="D67" s="30"/>
      <c r="E67" s="28">
        <f t="shared" si="4"/>
        <v>0</v>
      </c>
      <c r="F67" s="26"/>
      <c r="G67" s="32"/>
    </row>
    <row r="68" ht="14.25" customHeight="1">
      <c r="A68" s="36" t="s">
        <v>138</v>
      </c>
      <c r="B68" s="37"/>
      <c r="C68" s="38">
        <f>IFERROR(VLOOKUP(A68,'Market List'!$B:$F,5,FALSE),0)</f>
        <v>351.6666667</v>
      </c>
      <c r="D68" s="39"/>
      <c r="E68" s="38">
        <f t="shared" si="4"/>
        <v>0</v>
      </c>
      <c r="F68" s="37"/>
      <c r="G68" s="41"/>
    </row>
    <row r="69" ht="14.25" customHeight="1">
      <c r="A69" s="42" t="s">
        <v>62</v>
      </c>
      <c r="B69" s="43"/>
      <c r="C69" s="43"/>
      <c r="D69" s="45"/>
      <c r="E69" s="43">
        <v>0.0</v>
      </c>
      <c r="F69" s="43"/>
      <c r="G69" s="46"/>
    </row>
    <row r="70" ht="14.25" customHeight="1">
      <c r="A70" s="47" t="s">
        <v>64</v>
      </c>
      <c r="B70" s="48"/>
      <c r="C70" s="48"/>
      <c r="D70" s="49"/>
      <c r="E70" s="51">
        <f>SUM(E61:E69)</f>
        <v>0</v>
      </c>
      <c r="F70" s="48" t="s">
        <v>74</v>
      </c>
      <c r="G70" s="52"/>
    </row>
    <row r="71" ht="14.25" customHeight="1">
      <c r="A71" s="47" t="s">
        <v>67</v>
      </c>
      <c r="B71" s="48"/>
      <c r="C71" s="48"/>
      <c r="D71" s="49"/>
      <c r="E71" s="51">
        <f>E70*15%</f>
        <v>0</v>
      </c>
      <c r="F71" s="48" t="s">
        <v>76</v>
      </c>
      <c r="G71" s="52"/>
    </row>
    <row r="72" ht="14.25" customHeight="1">
      <c r="A72" s="47" t="s">
        <v>70</v>
      </c>
      <c r="B72" s="48"/>
      <c r="C72" s="48"/>
      <c r="D72" s="49"/>
      <c r="E72" s="51">
        <f>E70+E71</f>
        <v>0</v>
      </c>
      <c r="F72" s="48"/>
      <c r="G72" s="52"/>
    </row>
    <row r="73" ht="14.25" customHeight="1">
      <c r="A73" s="47" t="s">
        <v>71</v>
      </c>
      <c r="B73" s="48"/>
      <c r="C73" s="48"/>
      <c r="D73" s="49"/>
      <c r="E73" s="51">
        <f>IF(E75&gt;0,E75-E72,0)</f>
        <v>60000</v>
      </c>
      <c r="F73" s="48"/>
      <c r="G73" s="52"/>
    </row>
    <row r="74" ht="14.25" customHeight="1">
      <c r="A74" s="53" t="s">
        <v>73</v>
      </c>
      <c r="B74" s="48"/>
      <c r="C74" s="48"/>
      <c r="D74" s="49"/>
      <c r="E74" s="56">
        <f>IFERROR(E72/E75,0)</f>
        <v>0</v>
      </c>
      <c r="F74" s="48"/>
      <c r="G74" s="52"/>
    </row>
    <row r="75" ht="14.25" customHeight="1">
      <c r="A75" s="47" t="s">
        <v>11</v>
      </c>
      <c r="B75" s="48"/>
      <c r="C75" s="48"/>
      <c r="D75" s="49"/>
      <c r="E75" s="58">
        <v>60000.0</v>
      </c>
      <c r="F75" s="48"/>
      <c r="G75" s="52"/>
    </row>
    <row r="76" ht="14.25" customHeight="1">
      <c r="D76" s="60"/>
    </row>
    <row r="77">
      <c r="A77" s="4" t="s">
        <v>97</v>
      </c>
    </row>
    <row r="78" ht="14.25" customHeight="1">
      <c r="A78" s="6" t="s">
        <v>8</v>
      </c>
      <c r="B78" s="8" t="s">
        <v>10</v>
      </c>
      <c r="C78" s="8" t="s">
        <v>12</v>
      </c>
      <c r="D78" s="10" t="s">
        <v>13</v>
      </c>
      <c r="E78" s="8" t="s">
        <v>16</v>
      </c>
      <c r="F78" s="8" t="s">
        <v>17</v>
      </c>
      <c r="G78" s="13" t="s">
        <v>18</v>
      </c>
    </row>
    <row r="79" ht="14.25" customHeight="1">
      <c r="A79" s="14" t="s">
        <v>122</v>
      </c>
      <c r="B79" s="15" t="s">
        <v>24</v>
      </c>
      <c r="C79" s="17">
        <f>'WIP FOOD'!$B$17</f>
        <v>2346.198413</v>
      </c>
      <c r="D79" s="19"/>
      <c r="E79" s="17">
        <f t="shared" ref="E79:E86" si="5">IFERROR(C79*D79,0)</f>
        <v>0</v>
      </c>
      <c r="F79" s="15" t="s">
        <v>26</v>
      </c>
      <c r="G79" s="24"/>
    </row>
    <row r="80" ht="14.25" customHeight="1">
      <c r="A80" s="25" t="s">
        <v>92</v>
      </c>
      <c r="B80" s="26" t="s">
        <v>24</v>
      </c>
      <c r="C80" s="28">
        <f>IFERROR(VLOOKUP(A80,'Market List'!$B:$F,5,FALSE),0)</f>
        <v>13</v>
      </c>
      <c r="D80" s="30"/>
      <c r="E80" s="28">
        <f t="shared" si="5"/>
        <v>0</v>
      </c>
      <c r="F80" s="26"/>
      <c r="G80" s="32"/>
    </row>
    <row r="81" ht="14.25" customHeight="1">
      <c r="A81" s="25" t="s">
        <v>36</v>
      </c>
      <c r="B81" s="26" t="s">
        <v>24</v>
      </c>
      <c r="C81" s="28">
        <f>IFERROR(VLOOKUP(A81,'Market List'!$B:$F,5,FALSE),0)</f>
        <v>20</v>
      </c>
      <c r="D81" s="30"/>
      <c r="E81" s="28">
        <f t="shared" si="5"/>
        <v>0</v>
      </c>
      <c r="F81" s="26"/>
      <c r="G81" s="32"/>
    </row>
    <row r="82" ht="14.25" customHeight="1">
      <c r="A82" s="25" t="s">
        <v>44</v>
      </c>
      <c r="B82" s="26" t="s">
        <v>24</v>
      </c>
      <c r="C82" s="28">
        <f>IFERROR(VLOOKUP(A82,'Market List'!$B:$F,5,FALSE),0)</f>
        <v>496</v>
      </c>
      <c r="D82" s="30"/>
      <c r="E82" s="28">
        <f t="shared" si="5"/>
        <v>0</v>
      </c>
      <c r="F82" s="26"/>
      <c r="G82" s="32"/>
    </row>
    <row r="83" ht="14.25" customHeight="1">
      <c r="A83" s="25" t="s">
        <v>35</v>
      </c>
      <c r="B83" s="26"/>
      <c r="C83" s="28">
        <f>'WIP FOOD'!$B$452</f>
        <v>74.82275545</v>
      </c>
      <c r="D83" s="30"/>
      <c r="E83" s="28">
        <f t="shared" si="5"/>
        <v>0</v>
      </c>
      <c r="F83" s="26"/>
      <c r="G83" s="32"/>
    </row>
    <row r="84" ht="14.25" customHeight="1">
      <c r="A84" s="25" t="s">
        <v>41</v>
      </c>
      <c r="B84" s="26"/>
      <c r="C84" s="28">
        <f>IFERROR(VLOOKUP(A84,'Market List'!$B:$F,5,FALSE),0)</f>
        <v>72.3</v>
      </c>
      <c r="D84" s="30"/>
      <c r="E84" s="28">
        <f t="shared" si="5"/>
        <v>0</v>
      </c>
      <c r="F84" s="26"/>
      <c r="G84" s="32"/>
    </row>
    <row r="85" ht="14.25" customHeight="1">
      <c r="A85" s="25" t="s">
        <v>159</v>
      </c>
      <c r="B85" s="26" t="s">
        <v>24</v>
      </c>
      <c r="C85" s="28">
        <f>IFERROR(VLOOKUP(A85,'Market List'!$B:$F,5,FALSE),0)</f>
        <v>0</v>
      </c>
      <c r="D85" s="30"/>
      <c r="E85" s="28">
        <f t="shared" si="5"/>
        <v>0</v>
      </c>
      <c r="F85" s="26"/>
      <c r="G85" s="32"/>
    </row>
    <row r="86" ht="14.25" customHeight="1">
      <c r="A86" s="36"/>
      <c r="B86" s="37"/>
      <c r="C86" s="38"/>
      <c r="D86" s="39"/>
      <c r="E86" s="38">
        <f t="shared" si="5"/>
        <v>0</v>
      </c>
      <c r="F86" s="37"/>
      <c r="G86" s="41"/>
    </row>
    <row r="87" ht="14.25" customHeight="1">
      <c r="A87" s="42" t="s">
        <v>62</v>
      </c>
      <c r="B87" s="43"/>
      <c r="C87" s="43"/>
      <c r="D87" s="45"/>
      <c r="E87" s="43">
        <v>0.0</v>
      </c>
      <c r="F87" s="43"/>
      <c r="G87" s="46"/>
    </row>
    <row r="88" ht="14.25" customHeight="1">
      <c r="A88" s="47" t="s">
        <v>64</v>
      </c>
      <c r="B88" s="48"/>
      <c r="C88" s="48"/>
      <c r="D88" s="49"/>
      <c r="E88" s="51">
        <f>SUM(E79:E87)</f>
        <v>0</v>
      </c>
      <c r="F88" s="48" t="s">
        <v>74</v>
      </c>
      <c r="G88" s="52"/>
    </row>
    <row r="89" ht="14.25" customHeight="1">
      <c r="A89" s="47" t="s">
        <v>67</v>
      </c>
      <c r="B89" s="48"/>
      <c r="C89" s="48"/>
      <c r="D89" s="49"/>
      <c r="E89" s="51">
        <f>E88*15%</f>
        <v>0</v>
      </c>
      <c r="F89" s="48" t="s">
        <v>76</v>
      </c>
      <c r="G89" s="52"/>
    </row>
    <row r="90" ht="14.25" customHeight="1">
      <c r="A90" s="47" t="s">
        <v>70</v>
      </c>
      <c r="B90" s="48"/>
      <c r="C90" s="48"/>
      <c r="D90" s="49"/>
      <c r="E90" s="51">
        <f>E88+E89</f>
        <v>0</v>
      </c>
      <c r="F90" s="48"/>
      <c r="G90" s="52"/>
    </row>
    <row r="91" ht="14.25" customHeight="1">
      <c r="A91" s="47" t="s">
        <v>71</v>
      </c>
      <c r="B91" s="48"/>
      <c r="C91" s="48"/>
      <c r="D91" s="49"/>
      <c r="E91" s="51">
        <f>IF(E93&gt;0,E93-E90,0)</f>
        <v>65000</v>
      </c>
      <c r="F91" s="48"/>
      <c r="G91" s="52"/>
    </row>
    <row r="92" ht="14.25" customHeight="1">
      <c r="A92" s="53" t="s">
        <v>73</v>
      </c>
      <c r="B92" s="48"/>
      <c r="C92" s="48"/>
      <c r="D92" s="49"/>
      <c r="E92" s="56">
        <f>IFERROR(E90/E93,0)</f>
        <v>0</v>
      </c>
      <c r="F92" s="48"/>
      <c r="G92" s="52"/>
    </row>
    <row r="93" ht="14.25" customHeight="1">
      <c r="A93" s="47" t="s">
        <v>11</v>
      </c>
      <c r="B93" s="48"/>
      <c r="C93" s="48"/>
      <c r="D93" s="49"/>
      <c r="E93" s="58">
        <v>65000.0</v>
      </c>
      <c r="F93" s="48"/>
      <c r="G93" s="52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23:G23"/>
    <mergeCell ref="A41:G41"/>
    <mergeCell ref="A59:G59"/>
    <mergeCell ref="A77:G7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1</v>
      </c>
      <c r="B1" s="2"/>
      <c r="C1" s="2"/>
      <c r="D1" s="2"/>
      <c r="E1" s="2"/>
      <c r="F1" s="2"/>
      <c r="G1" s="3"/>
    </row>
    <row r="2">
      <c r="A2" s="4" t="s">
        <v>4</v>
      </c>
    </row>
    <row r="3" ht="14.25" customHeight="1">
      <c r="A3" s="6" t="s">
        <v>8</v>
      </c>
      <c r="B3" s="8" t="s">
        <v>10</v>
      </c>
      <c r="C3" s="8" t="s">
        <v>12</v>
      </c>
      <c r="D3" s="11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19</v>
      </c>
      <c r="B4" s="15" t="s">
        <v>22</v>
      </c>
      <c r="C4" s="17">
        <f>'WIP FOOD'!$B$3</f>
        <v>598.22</v>
      </c>
      <c r="D4" s="21">
        <v>5.0</v>
      </c>
      <c r="E4" s="17">
        <f t="shared" ref="E4:E11" si="1">IFERROR(C4*D4,0)</f>
        <v>2991.1</v>
      </c>
      <c r="F4" s="15" t="s">
        <v>25</v>
      </c>
      <c r="G4" s="24"/>
    </row>
    <row r="5" ht="14.25" customHeight="1">
      <c r="A5" s="25" t="s">
        <v>29</v>
      </c>
      <c r="B5" s="26" t="s">
        <v>22</v>
      </c>
      <c r="C5" s="28">
        <f>'WIP FOOD'!$B$229</f>
        <v>168.975</v>
      </c>
      <c r="D5" s="29">
        <v>1.0</v>
      </c>
      <c r="E5" s="28">
        <f t="shared" si="1"/>
        <v>168.975</v>
      </c>
      <c r="F5" s="26" t="s">
        <v>32</v>
      </c>
      <c r="G5" s="32"/>
    </row>
    <row r="6" ht="14.25" customHeight="1">
      <c r="A6" s="25" t="s">
        <v>35</v>
      </c>
      <c r="B6" s="26" t="s">
        <v>24</v>
      </c>
      <c r="C6" s="28">
        <f>'WIP FOOD'!$B$452</f>
        <v>74.82275545</v>
      </c>
      <c r="D6" s="29">
        <v>50.0</v>
      </c>
      <c r="E6" s="28">
        <f t="shared" si="1"/>
        <v>3741.137772</v>
      </c>
      <c r="F6" s="26" t="s">
        <v>39</v>
      </c>
      <c r="G6" s="32"/>
    </row>
    <row r="7" ht="14.25" customHeight="1">
      <c r="A7" s="25" t="s">
        <v>41</v>
      </c>
      <c r="B7" s="26" t="s">
        <v>24</v>
      </c>
      <c r="C7" s="28">
        <f>IFERROR(VLOOKUP(A7,'Market List'!$B:$F,5,FALSE),0)</f>
        <v>72.3</v>
      </c>
      <c r="D7" s="29">
        <v>30.0</v>
      </c>
      <c r="E7" s="28">
        <f t="shared" si="1"/>
        <v>2169</v>
      </c>
      <c r="F7" s="26" t="s">
        <v>49</v>
      </c>
      <c r="G7" s="32"/>
    </row>
    <row r="8" ht="14.25" customHeight="1">
      <c r="A8" s="25" t="s">
        <v>50</v>
      </c>
      <c r="B8" s="26" t="s">
        <v>24</v>
      </c>
      <c r="C8" s="28">
        <f>IFERROR(VLOOKUP(A8,'Market List'!$B:$F,5,FALSE),0)</f>
        <v>478.3989</v>
      </c>
      <c r="D8" s="29">
        <v>2.0</v>
      </c>
      <c r="E8" s="28">
        <f t="shared" si="1"/>
        <v>956.7978</v>
      </c>
      <c r="F8" s="26"/>
      <c r="G8" s="32"/>
    </row>
    <row r="9" ht="14.25" customHeight="1">
      <c r="A9" s="25" t="s">
        <v>44</v>
      </c>
      <c r="B9" s="26" t="s">
        <v>24</v>
      </c>
      <c r="C9" s="28">
        <f>IFERROR(VLOOKUP(A9,'Market List'!$B:$F,5,FALSE),0)</f>
        <v>496</v>
      </c>
      <c r="D9" s="29">
        <v>1.0</v>
      </c>
      <c r="E9" s="28">
        <f t="shared" si="1"/>
        <v>496</v>
      </c>
      <c r="F9" s="26"/>
      <c r="G9" s="32"/>
    </row>
    <row r="10" ht="14.25" customHeight="1">
      <c r="A10" s="25" t="s">
        <v>57</v>
      </c>
      <c r="B10" s="26" t="s">
        <v>59</v>
      </c>
      <c r="C10" s="28">
        <f>IFERROR(VLOOKUP(A10,'Market List'!$B:$F,5,FALSE),0)</f>
        <v>21.94444444</v>
      </c>
      <c r="D10" s="29">
        <v>20.0</v>
      </c>
      <c r="E10" s="28">
        <f t="shared" si="1"/>
        <v>438.8888889</v>
      </c>
      <c r="F10" s="26"/>
      <c r="G10" s="32"/>
    </row>
    <row r="11" ht="14.25" customHeight="1">
      <c r="A11" s="36"/>
      <c r="B11" s="37"/>
      <c r="C11" s="38"/>
      <c r="D11" s="40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4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50"/>
      <c r="E13" s="51">
        <f>SUM(E4:E12)</f>
        <v>10961.89946</v>
      </c>
      <c r="F13" s="48" t="s">
        <v>66</v>
      </c>
      <c r="G13" s="52"/>
    </row>
    <row r="14" ht="14.25" customHeight="1">
      <c r="A14" s="47" t="s">
        <v>67</v>
      </c>
      <c r="B14" s="48"/>
      <c r="C14" s="48"/>
      <c r="D14" s="50"/>
      <c r="E14" s="51">
        <f>E13*15%</f>
        <v>1644.284919</v>
      </c>
      <c r="F14" s="48" t="s">
        <v>69</v>
      </c>
      <c r="G14" s="52"/>
    </row>
    <row r="15" ht="14.25" customHeight="1">
      <c r="A15" s="47" t="s">
        <v>70</v>
      </c>
      <c r="B15" s="48"/>
      <c r="C15" s="48"/>
      <c r="D15" s="50"/>
      <c r="E15" s="51">
        <f>E13+E14</f>
        <v>12606.18438</v>
      </c>
      <c r="F15" s="48"/>
      <c r="G15" s="52"/>
    </row>
    <row r="16" ht="14.25" customHeight="1">
      <c r="A16" s="47" t="s">
        <v>71</v>
      </c>
      <c r="B16" s="48"/>
      <c r="C16" s="48"/>
      <c r="D16" s="50"/>
      <c r="E16" s="51">
        <f>IF(E18&gt;0,E18-E15,0)</f>
        <v>22393.81562</v>
      </c>
      <c r="F16" s="48"/>
      <c r="G16" s="52"/>
    </row>
    <row r="17" ht="14.25" customHeight="1">
      <c r="A17" s="53" t="s">
        <v>73</v>
      </c>
      <c r="B17" s="48"/>
      <c r="C17" s="48"/>
      <c r="D17" s="50"/>
      <c r="E17" s="56">
        <f>IFERROR(E15/E18,0)</f>
        <v>0.3601766966</v>
      </c>
      <c r="F17" s="48"/>
      <c r="G17" s="52"/>
    </row>
    <row r="18" ht="14.25" customHeight="1">
      <c r="A18" s="47" t="s">
        <v>11</v>
      </c>
      <c r="B18" s="48"/>
      <c r="C18" s="48"/>
      <c r="D18" s="50"/>
      <c r="E18" s="58">
        <v>35000.0</v>
      </c>
      <c r="F18" s="48"/>
      <c r="G18" s="52"/>
    </row>
    <row r="19" ht="14.25" customHeight="1">
      <c r="D19" s="59"/>
    </row>
    <row r="20">
      <c r="A20" s="4" t="s">
        <v>75</v>
      </c>
    </row>
    <row r="21" ht="14.25" customHeight="1">
      <c r="A21" s="6" t="s">
        <v>8</v>
      </c>
      <c r="B21" s="8" t="s">
        <v>10</v>
      </c>
      <c r="C21" s="8" t="s">
        <v>12</v>
      </c>
      <c r="D21" s="11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 t="s">
        <v>19</v>
      </c>
      <c r="B22" s="15" t="s">
        <v>22</v>
      </c>
      <c r="C22" s="17">
        <f>'WIP FOOD'!$B$3</f>
        <v>598.22</v>
      </c>
      <c r="D22" s="21">
        <v>5.0</v>
      </c>
      <c r="E22" s="17">
        <f t="shared" ref="E22:E29" si="2">IFERROR(C22*D22,0)</f>
        <v>2991.1</v>
      </c>
      <c r="F22" s="15" t="s">
        <v>78</v>
      </c>
      <c r="G22" s="24"/>
    </row>
    <row r="23" ht="14.25" customHeight="1">
      <c r="A23" s="25" t="s">
        <v>79</v>
      </c>
      <c r="B23" s="26" t="s">
        <v>24</v>
      </c>
      <c r="C23" s="28">
        <f>'WIP FOOD'!$B$362</f>
        <v>163.4154588</v>
      </c>
      <c r="D23" s="29">
        <v>30.0</v>
      </c>
      <c r="E23" s="28">
        <f t="shared" si="2"/>
        <v>4902.463765</v>
      </c>
      <c r="F23" s="26" t="s">
        <v>80</v>
      </c>
      <c r="G23" s="32"/>
    </row>
    <row r="24" ht="14.25" customHeight="1">
      <c r="A24" s="25" t="s">
        <v>53</v>
      </c>
      <c r="B24" s="26" t="s">
        <v>24</v>
      </c>
      <c r="C24" s="28">
        <f>'WIP FOOD'!$B$218</f>
        <v>362.7209213</v>
      </c>
      <c r="D24" s="29">
        <v>2.0</v>
      </c>
      <c r="E24" s="28">
        <f t="shared" si="2"/>
        <v>725.4418426</v>
      </c>
      <c r="F24" s="26" t="s">
        <v>84</v>
      </c>
      <c r="G24" s="32"/>
    </row>
    <row r="25" ht="14.25" customHeight="1">
      <c r="A25" s="25" t="s">
        <v>85</v>
      </c>
      <c r="B25" s="26" t="s">
        <v>24</v>
      </c>
      <c r="C25" s="28">
        <f>IFERROR(VLOOKUP(A25,'Market List'!$B:$F,5,FALSE),0)</f>
        <v>0</v>
      </c>
      <c r="D25" s="29">
        <v>2.0</v>
      </c>
      <c r="E25" s="28">
        <f t="shared" si="2"/>
        <v>0</v>
      </c>
      <c r="F25" s="26"/>
      <c r="G25" s="32"/>
    </row>
    <row r="26" ht="14.25" customHeight="1">
      <c r="A26" s="25" t="s">
        <v>88</v>
      </c>
      <c r="B26" s="26" t="s">
        <v>24</v>
      </c>
      <c r="C26" s="28">
        <f>IFERROR(VLOOKUP(A26,'Market List'!$B:$F,5,FALSE),0)</f>
        <v>351.6666667</v>
      </c>
      <c r="D26" s="29">
        <v>5.0</v>
      </c>
      <c r="E26" s="28">
        <f t="shared" si="2"/>
        <v>1758.333333</v>
      </c>
      <c r="F26" s="26"/>
      <c r="G26" s="32"/>
    </row>
    <row r="27" ht="14.25" customHeight="1">
      <c r="A27" s="25"/>
      <c r="B27" s="26"/>
      <c r="C27" s="28"/>
      <c r="D27" s="29"/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29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40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4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50"/>
      <c r="E31" s="51">
        <f>SUM(E22:E30)</f>
        <v>10377.33894</v>
      </c>
      <c r="F31" s="48" t="s">
        <v>66</v>
      </c>
      <c r="G31" s="52"/>
    </row>
    <row r="32" ht="14.25" customHeight="1">
      <c r="A32" s="47" t="s">
        <v>67</v>
      </c>
      <c r="B32" s="48"/>
      <c r="C32" s="48"/>
      <c r="D32" s="50"/>
      <c r="E32" s="51">
        <f>E31*15%</f>
        <v>1556.600841</v>
      </c>
      <c r="F32" s="48" t="s">
        <v>69</v>
      </c>
      <c r="G32" s="52"/>
    </row>
    <row r="33" ht="14.25" customHeight="1">
      <c r="A33" s="47" t="s">
        <v>70</v>
      </c>
      <c r="B33" s="48"/>
      <c r="C33" s="48"/>
      <c r="D33" s="50"/>
      <c r="E33" s="51">
        <f>E31+E32</f>
        <v>11933.93978</v>
      </c>
      <c r="F33" s="48"/>
      <c r="G33" s="52"/>
    </row>
    <row r="34" ht="14.25" customHeight="1">
      <c r="A34" s="47" t="s">
        <v>71</v>
      </c>
      <c r="B34" s="48"/>
      <c r="C34" s="48"/>
      <c r="D34" s="50"/>
      <c r="E34" s="51">
        <f>IF(E36&gt;0,E36-E33,0)</f>
        <v>23066.06022</v>
      </c>
      <c r="F34" s="48"/>
      <c r="G34" s="52"/>
    </row>
    <row r="35" ht="14.25" customHeight="1">
      <c r="A35" s="53" t="s">
        <v>73</v>
      </c>
      <c r="B35" s="48"/>
      <c r="C35" s="48"/>
      <c r="D35" s="50"/>
      <c r="E35" s="56">
        <f>IFERROR(E33/E36,0)</f>
        <v>0.340969708</v>
      </c>
      <c r="F35" s="48"/>
      <c r="G35" s="52"/>
    </row>
    <row r="36" ht="14.25" customHeight="1">
      <c r="A36" s="47" t="s">
        <v>11</v>
      </c>
      <c r="B36" s="48"/>
      <c r="C36" s="48"/>
      <c r="D36" s="50"/>
      <c r="E36" s="58">
        <v>35000.0</v>
      </c>
      <c r="F36" s="48"/>
      <c r="G36" s="52"/>
    </row>
    <row r="37" ht="14.25" customHeight="1">
      <c r="D37" s="59"/>
    </row>
    <row r="38">
      <c r="A38" s="4" t="s">
        <v>98</v>
      </c>
    </row>
    <row r="39" ht="14.25" customHeight="1">
      <c r="A39" s="6" t="s">
        <v>8</v>
      </c>
      <c r="B39" s="8" t="s">
        <v>10</v>
      </c>
      <c r="C39" s="8" t="s">
        <v>12</v>
      </c>
      <c r="D39" s="11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 t="s">
        <v>19</v>
      </c>
      <c r="B40" s="15" t="s">
        <v>22</v>
      </c>
      <c r="C40" s="17">
        <f>'WIP FOOD'!$B$3</f>
        <v>598.22</v>
      </c>
      <c r="D40" s="21">
        <v>5.0</v>
      </c>
      <c r="E40" s="17">
        <f t="shared" ref="E40:E47" si="3">IFERROR(C40*D40,0)</f>
        <v>2991.1</v>
      </c>
      <c r="F40" s="15" t="s">
        <v>25</v>
      </c>
      <c r="G40" s="24"/>
    </row>
    <row r="41" ht="14.25" customHeight="1">
      <c r="A41" s="25" t="s">
        <v>57</v>
      </c>
      <c r="B41" s="26" t="s">
        <v>59</v>
      </c>
      <c r="C41" s="28">
        <f>IFERROR(VLOOKUP(A41,'Market List'!$B:$F,5,FALSE),0)</f>
        <v>21.94444444</v>
      </c>
      <c r="D41" s="29">
        <v>20.0</v>
      </c>
      <c r="E41" s="28">
        <f t="shared" si="3"/>
        <v>438.8888889</v>
      </c>
      <c r="F41" s="26" t="s">
        <v>32</v>
      </c>
      <c r="G41" s="32"/>
    </row>
    <row r="42" ht="14.25" customHeight="1">
      <c r="A42" s="25" t="s">
        <v>102</v>
      </c>
      <c r="B42" s="26" t="s">
        <v>24</v>
      </c>
      <c r="C42" s="28">
        <f>'WIP FOOD'!$B$650</f>
        <v>80.31259017</v>
      </c>
      <c r="D42" s="29">
        <v>120.0</v>
      </c>
      <c r="E42" s="28">
        <f t="shared" si="3"/>
        <v>9637.51082</v>
      </c>
      <c r="F42" s="26" t="s">
        <v>104</v>
      </c>
      <c r="G42" s="32"/>
    </row>
    <row r="43" ht="14.25" customHeight="1">
      <c r="A43" s="25" t="s">
        <v>53</v>
      </c>
      <c r="B43" s="26" t="s">
        <v>24</v>
      </c>
      <c r="C43" s="28">
        <f>'WIP FOOD'!$B$218</f>
        <v>362.7209213</v>
      </c>
      <c r="D43" s="29">
        <v>2.0</v>
      </c>
      <c r="E43" s="28">
        <f t="shared" si="3"/>
        <v>725.4418426</v>
      </c>
      <c r="F43" s="26" t="s">
        <v>106</v>
      </c>
      <c r="G43" s="32"/>
    </row>
    <row r="44" ht="14.25" customHeight="1">
      <c r="A44" s="25" t="s">
        <v>36</v>
      </c>
      <c r="B44" s="26" t="s">
        <v>24</v>
      </c>
      <c r="C44" s="28">
        <f>IFERROR(VLOOKUP(A44,'Market List'!$B:$F,5,FALSE),0)</f>
        <v>20</v>
      </c>
      <c r="D44" s="29">
        <v>2.0</v>
      </c>
      <c r="E44" s="28">
        <f t="shared" si="3"/>
        <v>40</v>
      </c>
      <c r="F44" s="26"/>
      <c r="G44" s="32"/>
    </row>
    <row r="45" ht="14.25" customHeight="1">
      <c r="A45" s="25" t="s">
        <v>88</v>
      </c>
      <c r="B45" s="26" t="s">
        <v>24</v>
      </c>
      <c r="C45" s="28">
        <f>IFERROR(VLOOKUP(A45,'Market List'!$B:$F,5,FALSE),0)</f>
        <v>351.6666667</v>
      </c>
      <c r="D45" s="29">
        <v>5.0</v>
      </c>
      <c r="E45" s="28">
        <f t="shared" si="3"/>
        <v>1758.333333</v>
      </c>
      <c r="F45" s="26"/>
      <c r="G45" s="32"/>
    </row>
    <row r="46" ht="14.25" customHeight="1">
      <c r="A46" s="25"/>
      <c r="B46" s="26"/>
      <c r="C46" s="28"/>
      <c r="D46" s="29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40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4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50"/>
      <c r="E49" s="51">
        <f>SUM(E40:E48)</f>
        <v>15591.27488</v>
      </c>
      <c r="F49" s="48" t="s">
        <v>66</v>
      </c>
      <c r="G49" s="52"/>
    </row>
    <row r="50" ht="14.25" customHeight="1">
      <c r="A50" s="47" t="s">
        <v>67</v>
      </c>
      <c r="B50" s="48"/>
      <c r="C50" s="48"/>
      <c r="D50" s="50"/>
      <c r="E50" s="51">
        <f>E49*15%</f>
        <v>2338.691233</v>
      </c>
      <c r="F50" s="48" t="s">
        <v>69</v>
      </c>
      <c r="G50" s="52"/>
    </row>
    <row r="51" ht="14.25" customHeight="1">
      <c r="A51" s="47" t="s">
        <v>70</v>
      </c>
      <c r="B51" s="48"/>
      <c r="C51" s="48"/>
      <c r="D51" s="50"/>
      <c r="E51" s="51">
        <f>E49+E50</f>
        <v>17929.96612</v>
      </c>
      <c r="F51" s="48"/>
      <c r="G51" s="52"/>
    </row>
    <row r="52" ht="14.25" customHeight="1">
      <c r="A52" s="47" t="s">
        <v>71</v>
      </c>
      <c r="B52" s="48"/>
      <c r="C52" s="48"/>
      <c r="D52" s="50"/>
      <c r="E52" s="51">
        <f>IF(E54&gt;0,E54-E51,0)</f>
        <v>17070.03388</v>
      </c>
      <c r="F52" s="48"/>
      <c r="G52" s="52"/>
    </row>
    <row r="53" ht="14.25" customHeight="1">
      <c r="A53" s="53" t="s">
        <v>73</v>
      </c>
      <c r="B53" s="48"/>
      <c r="C53" s="48"/>
      <c r="D53" s="50"/>
      <c r="E53" s="56">
        <f>IFERROR(E51/E54,0)</f>
        <v>0.5122847462</v>
      </c>
      <c r="F53" s="48"/>
      <c r="G53" s="52"/>
    </row>
    <row r="54" ht="14.25" customHeight="1">
      <c r="A54" s="47" t="s">
        <v>11</v>
      </c>
      <c r="B54" s="48"/>
      <c r="C54" s="48"/>
      <c r="D54" s="50"/>
      <c r="E54" s="58">
        <v>35000.0</v>
      </c>
      <c r="F54" s="48"/>
      <c r="G54" s="52"/>
    </row>
    <row r="55" ht="14.25" customHeight="1">
      <c r="D55" s="59"/>
    </row>
    <row r="56">
      <c r="A56" s="4" t="s">
        <v>113</v>
      </c>
    </row>
    <row r="57" ht="14.25" customHeight="1">
      <c r="A57" s="6" t="s">
        <v>8</v>
      </c>
      <c r="B57" s="8" t="s">
        <v>10</v>
      </c>
      <c r="C57" s="8" t="s">
        <v>12</v>
      </c>
      <c r="D57" s="11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 t="s">
        <v>19</v>
      </c>
      <c r="B58" s="15" t="s">
        <v>24</v>
      </c>
      <c r="C58" s="17">
        <f>'WIP FOOD'!$B$3</f>
        <v>598.22</v>
      </c>
      <c r="D58" s="21">
        <v>5.0</v>
      </c>
      <c r="E58" s="17">
        <f t="shared" ref="E58:E65" si="4">IFERROR(C58*D58,0)</f>
        <v>2991.1</v>
      </c>
      <c r="F58" s="15" t="s">
        <v>26</v>
      </c>
      <c r="G58" s="24"/>
    </row>
    <row r="59" ht="14.25" customHeight="1">
      <c r="A59" s="25"/>
      <c r="B59" s="26"/>
      <c r="C59" s="28"/>
      <c r="D59" s="29"/>
      <c r="E59" s="28">
        <f t="shared" si="4"/>
        <v>0</v>
      </c>
      <c r="F59" s="26"/>
      <c r="G59" s="32"/>
    </row>
    <row r="60" ht="14.25" customHeight="1">
      <c r="A60" s="25"/>
      <c r="B60" s="26"/>
      <c r="C60" s="28"/>
      <c r="D60" s="29"/>
      <c r="E60" s="28">
        <f t="shared" si="4"/>
        <v>0</v>
      </c>
      <c r="F60" s="26"/>
      <c r="G60" s="32"/>
    </row>
    <row r="61" ht="14.25" customHeight="1">
      <c r="A61" s="25"/>
      <c r="B61" s="26"/>
      <c r="C61" s="28"/>
      <c r="D61" s="29"/>
      <c r="E61" s="28">
        <f t="shared" si="4"/>
        <v>0</v>
      </c>
      <c r="F61" s="26"/>
      <c r="G61" s="32"/>
    </row>
    <row r="62" ht="14.25" customHeight="1">
      <c r="A62" s="25"/>
      <c r="B62" s="26"/>
      <c r="C62" s="28"/>
      <c r="D62" s="29"/>
      <c r="E62" s="28">
        <f t="shared" si="4"/>
        <v>0</v>
      </c>
      <c r="F62" s="26"/>
      <c r="G62" s="32"/>
    </row>
    <row r="63" ht="14.25" customHeight="1">
      <c r="A63" s="25"/>
      <c r="B63" s="26"/>
      <c r="C63" s="28"/>
      <c r="D63" s="29"/>
      <c r="E63" s="28">
        <f t="shared" si="4"/>
        <v>0</v>
      </c>
      <c r="F63" s="26"/>
      <c r="G63" s="32"/>
    </row>
    <row r="64" ht="14.25" customHeight="1">
      <c r="A64" s="25"/>
      <c r="B64" s="26"/>
      <c r="C64" s="28"/>
      <c r="D64" s="29"/>
      <c r="E64" s="28">
        <f t="shared" si="4"/>
        <v>0</v>
      </c>
      <c r="F64" s="26"/>
      <c r="G64" s="32"/>
    </row>
    <row r="65" ht="14.25" customHeight="1">
      <c r="A65" s="36"/>
      <c r="B65" s="37"/>
      <c r="C65" s="38"/>
      <c r="D65" s="40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4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50"/>
      <c r="E67" s="51">
        <f>SUM(E58:E66)</f>
        <v>2991.1</v>
      </c>
      <c r="F67" s="48" t="s">
        <v>74</v>
      </c>
      <c r="G67" s="52"/>
    </row>
    <row r="68" ht="14.25" customHeight="1">
      <c r="A68" s="47" t="s">
        <v>67</v>
      </c>
      <c r="B68" s="48"/>
      <c r="C68" s="48"/>
      <c r="D68" s="50"/>
      <c r="E68" s="51">
        <f>E67*15%</f>
        <v>448.665</v>
      </c>
      <c r="F68" s="48" t="s">
        <v>76</v>
      </c>
      <c r="G68" s="52"/>
    </row>
    <row r="69" ht="14.25" customHeight="1">
      <c r="A69" s="47" t="s">
        <v>70</v>
      </c>
      <c r="B69" s="48"/>
      <c r="C69" s="48"/>
      <c r="D69" s="50"/>
      <c r="E69" s="51">
        <f>E67+E68</f>
        <v>3439.765</v>
      </c>
      <c r="F69" s="48"/>
      <c r="G69" s="52"/>
    </row>
    <row r="70" ht="14.25" customHeight="1">
      <c r="A70" s="47" t="s">
        <v>71</v>
      </c>
      <c r="B70" s="48"/>
      <c r="C70" s="48"/>
      <c r="D70" s="50"/>
      <c r="E70" s="51">
        <f>IF(E72&gt;0,E72-E69,0)</f>
        <v>21560.235</v>
      </c>
      <c r="F70" s="48"/>
      <c r="G70" s="52"/>
    </row>
    <row r="71" ht="14.25" customHeight="1">
      <c r="A71" s="53" t="s">
        <v>73</v>
      </c>
      <c r="B71" s="48"/>
      <c r="C71" s="48"/>
      <c r="D71" s="50"/>
      <c r="E71" s="56">
        <f>IFERROR(E69/E72,0)</f>
        <v>0.1375906</v>
      </c>
      <c r="F71" s="48"/>
      <c r="G71" s="52"/>
    </row>
    <row r="72" ht="14.25" customHeight="1">
      <c r="A72" s="47" t="s">
        <v>11</v>
      </c>
      <c r="B72" s="48"/>
      <c r="C72" s="48"/>
      <c r="D72" s="50"/>
      <c r="E72" s="58">
        <v>25000.0</v>
      </c>
      <c r="F72" s="48"/>
      <c r="G72" s="52"/>
    </row>
    <row r="73" ht="14.25" customHeight="1">
      <c r="D73" s="59"/>
    </row>
    <row r="74">
      <c r="A74" s="4" t="s">
        <v>115</v>
      </c>
    </row>
    <row r="75" ht="14.25" customHeight="1">
      <c r="A75" s="6" t="s">
        <v>8</v>
      </c>
      <c r="B75" s="8" t="s">
        <v>10</v>
      </c>
      <c r="C75" s="8" t="s">
        <v>12</v>
      </c>
      <c r="D75" s="11" t="s">
        <v>13</v>
      </c>
      <c r="E75" s="8" t="s">
        <v>16</v>
      </c>
      <c r="F75" s="8" t="s">
        <v>17</v>
      </c>
      <c r="G75" s="13" t="s">
        <v>18</v>
      </c>
    </row>
    <row r="76" ht="14.25" customHeight="1">
      <c r="A76" s="14" t="s">
        <v>19</v>
      </c>
      <c r="B76" s="15" t="s">
        <v>24</v>
      </c>
      <c r="C76" s="17">
        <f>'WIP FOOD'!$B$3</f>
        <v>598.22</v>
      </c>
      <c r="D76" s="21">
        <v>5.0</v>
      </c>
      <c r="E76" s="17">
        <f t="shared" ref="E76:E83" si="5">IFERROR(C76*D76,0)</f>
        <v>2991.1</v>
      </c>
      <c r="F76" s="15" t="s">
        <v>26</v>
      </c>
      <c r="G76" s="24"/>
    </row>
    <row r="77" ht="14.25" customHeight="1">
      <c r="A77" s="25" t="s">
        <v>57</v>
      </c>
      <c r="B77" s="26" t="s">
        <v>59</v>
      </c>
      <c r="C77" s="28">
        <f>IFERROR(VLOOKUP(A77,'Market List'!$B:$F,5,FALSE),0)</f>
        <v>21.94444444</v>
      </c>
      <c r="D77" s="29">
        <v>5.0</v>
      </c>
      <c r="E77" s="28">
        <f t="shared" si="5"/>
        <v>109.7222222</v>
      </c>
      <c r="F77" s="26"/>
      <c r="G77" s="32"/>
    </row>
    <row r="78" ht="14.25" customHeight="1">
      <c r="A78" s="25"/>
      <c r="B78" s="26"/>
      <c r="C78" s="28"/>
      <c r="D78" s="29"/>
      <c r="E78" s="28">
        <f t="shared" si="5"/>
        <v>0</v>
      </c>
      <c r="F78" s="26"/>
      <c r="G78" s="32"/>
    </row>
    <row r="79" ht="14.25" customHeight="1">
      <c r="A79" s="25"/>
      <c r="B79" s="26"/>
      <c r="C79" s="28"/>
      <c r="D79" s="29"/>
      <c r="E79" s="28">
        <f t="shared" si="5"/>
        <v>0</v>
      </c>
      <c r="F79" s="26"/>
      <c r="G79" s="32"/>
    </row>
    <row r="80" ht="14.25" customHeight="1">
      <c r="A80" s="25"/>
      <c r="B80" s="26"/>
      <c r="C80" s="28"/>
      <c r="D80" s="29"/>
      <c r="E80" s="28">
        <f t="shared" si="5"/>
        <v>0</v>
      </c>
      <c r="F80" s="26"/>
      <c r="G80" s="32"/>
    </row>
    <row r="81" ht="14.25" customHeight="1">
      <c r="A81" s="25"/>
      <c r="B81" s="26"/>
      <c r="C81" s="28"/>
      <c r="D81" s="29"/>
      <c r="E81" s="28">
        <f t="shared" si="5"/>
        <v>0</v>
      </c>
      <c r="F81" s="26"/>
      <c r="G81" s="32"/>
    </row>
    <row r="82" ht="14.25" customHeight="1">
      <c r="A82" s="25"/>
      <c r="B82" s="26"/>
      <c r="C82" s="28"/>
      <c r="D82" s="29"/>
      <c r="E82" s="28">
        <f t="shared" si="5"/>
        <v>0</v>
      </c>
      <c r="F82" s="26"/>
      <c r="G82" s="32"/>
    </row>
    <row r="83" ht="14.25" customHeight="1">
      <c r="A83" s="36"/>
      <c r="B83" s="37"/>
      <c r="C83" s="38"/>
      <c r="D83" s="40"/>
      <c r="E83" s="38">
        <f t="shared" si="5"/>
        <v>0</v>
      </c>
      <c r="F83" s="37"/>
      <c r="G83" s="41"/>
    </row>
    <row r="84" ht="14.25" customHeight="1">
      <c r="A84" s="42" t="s">
        <v>62</v>
      </c>
      <c r="B84" s="43"/>
      <c r="C84" s="43"/>
      <c r="D84" s="44"/>
      <c r="E84" s="43">
        <v>0.0</v>
      </c>
      <c r="F84" s="43"/>
      <c r="G84" s="46"/>
    </row>
    <row r="85" ht="14.25" customHeight="1">
      <c r="A85" s="47" t="s">
        <v>64</v>
      </c>
      <c r="B85" s="48"/>
      <c r="C85" s="48"/>
      <c r="D85" s="50"/>
      <c r="E85" s="51">
        <f>SUM(E76:E84)</f>
        <v>3100.822222</v>
      </c>
      <c r="F85" s="48" t="s">
        <v>74</v>
      </c>
      <c r="G85" s="52"/>
    </row>
    <row r="86" ht="14.25" customHeight="1">
      <c r="A86" s="47" t="s">
        <v>67</v>
      </c>
      <c r="B86" s="48"/>
      <c r="C86" s="48"/>
      <c r="D86" s="50"/>
      <c r="E86" s="51">
        <f>E85*15%</f>
        <v>465.1233333</v>
      </c>
      <c r="F86" s="48" t="s">
        <v>76</v>
      </c>
      <c r="G86" s="52"/>
    </row>
    <row r="87" ht="14.25" customHeight="1">
      <c r="A87" s="47" t="s">
        <v>70</v>
      </c>
      <c r="B87" s="48"/>
      <c r="C87" s="48"/>
      <c r="D87" s="50"/>
      <c r="E87" s="51">
        <f>E85+E86</f>
        <v>3565.945556</v>
      </c>
      <c r="F87" s="48"/>
      <c r="G87" s="52"/>
    </row>
    <row r="88" ht="14.25" customHeight="1">
      <c r="A88" s="47" t="s">
        <v>71</v>
      </c>
      <c r="B88" s="48"/>
      <c r="C88" s="48"/>
      <c r="D88" s="50"/>
      <c r="E88" s="51">
        <f>IF(E90&gt;0,E90-E87,0)</f>
        <v>21434.05444</v>
      </c>
      <c r="F88" s="48"/>
      <c r="G88" s="52"/>
    </row>
    <row r="89" ht="14.25" customHeight="1">
      <c r="A89" s="53" t="s">
        <v>73</v>
      </c>
      <c r="B89" s="48"/>
      <c r="C89" s="48"/>
      <c r="D89" s="50"/>
      <c r="E89" s="56">
        <f>IFERROR(E87/E90,0)</f>
        <v>0.1426378222</v>
      </c>
      <c r="F89" s="48"/>
      <c r="G89" s="52"/>
    </row>
    <row r="90" ht="14.25" customHeight="1">
      <c r="A90" s="47" t="s">
        <v>11</v>
      </c>
      <c r="B90" s="48"/>
      <c r="C90" s="48"/>
      <c r="D90" s="50"/>
      <c r="E90" s="58">
        <v>25000.0</v>
      </c>
      <c r="F90" s="48"/>
      <c r="G90" s="52"/>
    </row>
    <row r="91" ht="14.25" customHeight="1">
      <c r="D91" s="59"/>
    </row>
    <row r="92" ht="14.25" customHeight="1">
      <c r="D92" s="59"/>
    </row>
    <row r="93" ht="14.25" customHeight="1">
      <c r="D93" s="59"/>
    </row>
    <row r="94" ht="14.25" customHeight="1">
      <c r="D94" s="59"/>
    </row>
    <row r="95" ht="14.25" customHeight="1">
      <c r="D95" s="59"/>
    </row>
    <row r="96" ht="14.25" customHeight="1">
      <c r="D96" s="59"/>
    </row>
    <row r="97" ht="14.25" customHeight="1">
      <c r="D97" s="59"/>
    </row>
    <row r="98" ht="14.25" customHeight="1">
      <c r="D98" s="59"/>
    </row>
    <row r="99" ht="14.25" customHeight="1">
      <c r="D99" s="59"/>
    </row>
    <row r="100" ht="14.25" customHeight="1">
      <c r="D100" s="59"/>
    </row>
    <row r="101" ht="14.25" customHeight="1">
      <c r="D101" s="59"/>
    </row>
    <row r="102" ht="14.25" customHeight="1">
      <c r="D102" s="59"/>
    </row>
    <row r="103" ht="14.25" customHeight="1">
      <c r="D103" s="59"/>
    </row>
    <row r="104" ht="14.25" customHeight="1">
      <c r="D104" s="59"/>
    </row>
    <row r="105" ht="14.25" customHeight="1">
      <c r="D105" s="59"/>
    </row>
    <row r="106" ht="14.25" customHeight="1">
      <c r="D106" s="59"/>
    </row>
    <row r="107" ht="14.25" customHeight="1">
      <c r="D107" s="59"/>
    </row>
    <row r="108" ht="14.25" customHeight="1">
      <c r="D108" s="59"/>
    </row>
    <row r="109" ht="14.25" customHeight="1">
      <c r="D109" s="59"/>
    </row>
    <row r="110" ht="14.25" customHeight="1">
      <c r="D110" s="59"/>
    </row>
    <row r="111" ht="14.25" customHeight="1">
      <c r="D111" s="59"/>
    </row>
    <row r="112" ht="14.25" customHeight="1">
      <c r="D112" s="59"/>
    </row>
    <row r="113" ht="14.25" customHeight="1">
      <c r="D113" s="59"/>
    </row>
    <row r="114" ht="14.25" customHeight="1">
      <c r="D114" s="59"/>
    </row>
    <row r="115" ht="14.25" customHeight="1">
      <c r="D115" s="59"/>
    </row>
    <row r="116" ht="14.25" customHeight="1">
      <c r="D116" s="59"/>
    </row>
    <row r="117" ht="14.25" customHeight="1">
      <c r="D117" s="59"/>
    </row>
    <row r="118" ht="14.25" customHeight="1">
      <c r="D118" s="59"/>
    </row>
    <row r="119" ht="14.25" customHeight="1">
      <c r="D119" s="59"/>
    </row>
    <row r="120" ht="14.25" customHeight="1">
      <c r="D120" s="59"/>
    </row>
    <row r="121" ht="14.25" customHeight="1">
      <c r="D121" s="59"/>
    </row>
    <row r="122" ht="14.25" customHeight="1">
      <c r="D122" s="59"/>
    </row>
    <row r="123" ht="14.25" customHeight="1">
      <c r="D123" s="59"/>
    </row>
    <row r="124" ht="14.25" customHeight="1">
      <c r="D124" s="59"/>
    </row>
    <row r="125" ht="14.25" customHeight="1">
      <c r="D125" s="59"/>
    </row>
    <row r="126" ht="14.25" customHeight="1">
      <c r="D126" s="59"/>
    </row>
    <row r="127" ht="14.25" customHeight="1">
      <c r="D127" s="59"/>
    </row>
    <row r="128" ht="14.25" customHeight="1">
      <c r="D128" s="59"/>
    </row>
    <row r="129" ht="14.25" customHeight="1">
      <c r="D129" s="59"/>
    </row>
    <row r="130" ht="14.25" customHeight="1">
      <c r="D130" s="59"/>
    </row>
    <row r="131" ht="14.25" customHeight="1">
      <c r="D131" s="59"/>
    </row>
    <row r="132" ht="14.25" customHeight="1">
      <c r="D132" s="59"/>
    </row>
    <row r="133" ht="14.25" customHeight="1">
      <c r="D133" s="59"/>
    </row>
    <row r="134" ht="14.25" customHeight="1">
      <c r="D134" s="59"/>
    </row>
    <row r="135" ht="14.25" customHeight="1">
      <c r="D135" s="59"/>
    </row>
    <row r="136" ht="14.25" customHeight="1">
      <c r="D136" s="59"/>
    </row>
    <row r="137" ht="14.25" customHeight="1">
      <c r="D137" s="59"/>
    </row>
    <row r="138" ht="14.25" customHeight="1">
      <c r="D138" s="59"/>
    </row>
    <row r="139" ht="14.25" customHeight="1">
      <c r="D139" s="59"/>
    </row>
    <row r="140" ht="14.25" customHeight="1">
      <c r="D140" s="59"/>
    </row>
    <row r="141" ht="14.25" customHeight="1">
      <c r="D141" s="59"/>
    </row>
    <row r="142" ht="14.25" customHeight="1">
      <c r="D142" s="59"/>
    </row>
    <row r="143" ht="14.25" customHeight="1">
      <c r="D143" s="59"/>
    </row>
    <row r="144" ht="14.25" customHeight="1">
      <c r="D144" s="59"/>
    </row>
    <row r="145" ht="14.25" customHeight="1">
      <c r="D145" s="59"/>
    </row>
    <row r="146" ht="14.25" customHeight="1">
      <c r="D146" s="59"/>
    </row>
    <row r="147" ht="14.25" customHeight="1">
      <c r="D147" s="59"/>
    </row>
    <row r="148" ht="14.25" customHeight="1">
      <c r="D148" s="59"/>
    </row>
    <row r="149" ht="14.25" customHeight="1">
      <c r="D149" s="59"/>
    </row>
    <row r="150" ht="14.25" customHeight="1">
      <c r="D150" s="59"/>
    </row>
    <row r="151" ht="14.25" customHeight="1">
      <c r="D151" s="59"/>
    </row>
    <row r="152" ht="14.25" customHeight="1">
      <c r="D152" s="59"/>
    </row>
    <row r="153" ht="14.25" customHeight="1">
      <c r="D153" s="59"/>
    </row>
    <row r="154" ht="14.25" customHeight="1">
      <c r="D154" s="59"/>
    </row>
    <row r="155" ht="14.25" customHeight="1">
      <c r="D155" s="59"/>
    </row>
    <row r="156" ht="14.25" customHeight="1">
      <c r="D156" s="59"/>
    </row>
    <row r="157" ht="14.25" customHeight="1">
      <c r="D157" s="59"/>
    </row>
    <row r="158" ht="14.25" customHeight="1">
      <c r="D158" s="59"/>
    </row>
    <row r="159" ht="14.25" customHeight="1">
      <c r="D159" s="59"/>
    </row>
    <row r="160" ht="14.25" customHeight="1">
      <c r="D160" s="59"/>
    </row>
    <row r="161" ht="14.25" customHeight="1">
      <c r="D161" s="59"/>
    </row>
    <row r="162" ht="14.25" customHeight="1">
      <c r="D162" s="59"/>
    </row>
    <row r="163" ht="14.25" customHeight="1">
      <c r="D163" s="59"/>
    </row>
    <row r="164" ht="14.25" customHeight="1">
      <c r="D164" s="59"/>
    </row>
    <row r="165" ht="14.25" customHeight="1">
      <c r="D165" s="59"/>
    </row>
    <row r="166" ht="14.25" customHeight="1">
      <c r="D166" s="59"/>
    </row>
    <row r="167" ht="14.25" customHeight="1">
      <c r="D167" s="59"/>
    </row>
    <row r="168" ht="14.25" customHeight="1">
      <c r="D168" s="59"/>
    </row>
    <row r="169" ht="14.25" customHeight="1">
      <c r="D169" s="59"/>
    </row>
    <row r="170" ht="14.25" customHeight="1">
      <c r="D170" s="59"/>
    </row>
    <row r="171" ht="14.25" customHeight="1">
      <c r="D171" s="59"/>
    </row>
    <row r="172" ht="14.25" customHeight="1">
      <c r="D172" s="59"/>
    </row>
    <row r="173" ht="14.25" customHeight="1">
      <c r="D173" s="59"/>
    </row>
    <row r="174" ht="14.25" customHeight="1">
      <c r="D174" s="59"/>
    </row>
    <row r="175" ht="14.25" customHeight="1">
      <c r="D175" s="59"/>
    </row>
    <row r="176" ht="14.25" customHeight="1">
      <c r="D176" s="59"/>
    </row>
    <row r="177" ht="14.25" customHeight="1">
      <c r="D177" s="59"/>
    </row>
    <row r="178" ht="14.25" customHeight="1">
      <c r="D178" s="59"/>
    </row>
    <row r="179" ht="14.25" customHeight="1">
      <c r="D179" s="59"/>
    </row>
    <row r="180" ht="14.25" customHeight="1">
      <c r="D180" s="59"/>
    </row>
    <row r="181" ht="14.25" customHeight="1">
      <c r="D181" s="59"/>
    </row>
    <row r="182" ht="14.25" customHeight="1">
      <c r="D182" s="59"/>
    </row>
    <row r="183" ht="14.25" customHeight="1">
      <c r="D183" s="59"/>
    </row>
    <row r="184" ht="14.25" customHeight="1">
      <c r="D184" s="59"/>
    </row>
    <row r="185" ht="14.25" customHeight="1">
      <c r="D185" s="59"/>
    </row>
    <row r="186" ht="14.25" customHeight="1">
      <c r="D186" s="59"/>
    </row>
    <row r="187" ht="14.25" customHeight="1">
      <c r="D187" s="59"/>
    </row>
    <row r="188" ht="14.25" customHeight="1">
      <c r="D188" s="59"/>
    </row>
    <row r="189" ht="14.25" customHeight="1">
      <c r="D189" s="59"/>
    </row>
    <row r="190" ht="14.25" customHeight="1">
      <c r="D190" s="59"/>
    </row>
    <row r="191" ht="14.25" customHeight="1">
      <c r="D191" s="59"/>
    </row>
    <row r="192" ht="14.25" customHeight="1">
      <c r="D192" s="59"/>
    </row>
    <row r="193" ht="14.25" customHeight="1">
      <c r="D193" s="59"/>
    </row>
    <row r="194" ht="14.25" customHeight="1">
      <c r="D194" s="59"/>
    </row>
    <row r="195" ht="14.25" customHeight="1">
      <c r="D195" s="59"/>
    </row>
    <row r="196" ht="14.25" customHeight="1">
      <c r="D196" s="59"/>
    </row>
    <row r="197" ht="14.25" customHeight="1">
      <c r="D197" s="59"/>
    </row>
    <row r="198" ht="14.25" customHeight="1">
      <c r="D198" s="59"/>
    </row>
    <row r="199" ht="14.25" customHeight="1">
      <c r="D199" s="59"/>
    </row>
    <row r="200" ht="14.25" customHeight="1">
      <c r="D200" s="59"/>
    </row>
    <row r="201" ht="14.25" customHeight="1">
      <c r="D201" s="59"/>
    </row>
    <row r="202" ht="14.25" customHeight="1">
      <c r="D202" s="59"/>
    </row>
    <row r="203" ht="14.25" customHeight="1">
      <c r="D203" s="59"/>
    </row>
    <row r="204" ht="14.25" customHeight="1">
      <c r="D204" s="59"/>
    </row>
    <row r="205" ht="14.25" customHeight="1">
      <c r="D205" s="59"/>
    </row>
    <row r="206" ht="14.25" customHeight="1">
      <c r="D206" s="59"/>
    </row>
    <row r="207" ht="14.25" customHeight="1">
      <c r="D207" s="59"/>
    </row>
    <row r="208" ht="14.25" customHeight="1">
      <c r="D208" s="59"/>
    </row>
    <row r="209" ht="14.25" customHeight="1">
      <c r="D209" s="59"/>
    </row>
    <row r="210" ht="14.25" customHeight="1">
      <c r="D210" s="59"/>
    </row>
    <row r="211" ht="14.25" customHeight="1">
      <c r="D211" s="59"/>
    </row>
    <row r="212" ht="14.25" customHeight="1">
      <c r="D212" s="59"/>
    </row>
    <row r="213" ht="14.25" customHeight="1">
      <c r="D213" s="59"/>
    </row>
    <row r="214" ht="14.25" customHeight="1">
      <c r="D214" s="59"/>
    </row>
    <row r="215" ht="14.25" customHeight="1">
      <c r="D215" s="59"/>
    </row>
    <row r="216" ht="14.25" customHeight="1">
      <c r="D216" s="59"/>
    </row>
    <row r="217" ht="14.25" customHeight="1">
      <c r="D217" s="59"/>
    </row>
    <row r="218" ht="14.25" customHeight="1">
      <c r="D218" s="59"/>
    </row>
    <row r="219" ht="14.25" customHeight="1">
      <c r="D219" s="59"/>
    </row>
    <row r="220" ht="14.25" customHeight="1">
      <c r="D220" s="59"/>
    </row>
    <row r="221" ht="14.25" customHeight="1">
      <c r="D221" s="59"/>
    </row>
    <row r="222" ht="14.25" customHeight="1">
      <c r="D222" s="59"/>
    </row>
    <row r="223" ht="14.25" customHeight="1">
      <c r="D223" s="59"/>
    </row>
    <row r="224" ht="14.25" customHeight="1">
      <c r="D224" s="59"/>
    </row>
    <row r="225" ht="14.25" customHeight="1">
      <c r="D225" s="59"/>
    </row>
    <row r="226" ht="14.25" customHeight="1">
      <c r="D226" s="59"/>
    </row>
    <row r="227" ht="14.25" customHeight="1">
      <c r="D227" s="59"/>
    </row>
    <row r="228" ht="14.25" customHeight="1">
      <c r="D228" s="59"/>
    </row>
    <row r="229" ht="14.25" customHeight="1">
      <c r="D229" s="59"/>
    </row>
    <row r="230" ht="14.25" customHeight="1">
      <c r="D230" s="59"/>
    </row>
    <row r="231" ht="14.25" customHeight="1">
      <c r="D231" s="59"/>
    </row>
    <row r="232" ht="14.25" customHeight="1">
      <c r="D232" s="59"/>
    </row>
    <row r="233" ht="14.25" customHeight="1">
      <c r="D233" s="59"/>
    </row>
    <row r="234" ht="14.25" customHeight="1">
      <c r="D234" s="59"/>
    </row>
    <row r="235" ht="14.25" customHeight="1">
      <c r="D235" s="59"/>
    </row>
    <row r="236" ht="14.25" customHeight="1">
      <c r="D236" s="59"/>
    </row>
    <row r="237" ht="14.25" customHeight="1">
      <c r="D237" s="59"/>
    </row>
    <row r="238" ht="14.25" customHeight="1">
      <c r="D238" s="59"/>
    </row>
    <row r="239" ht="14.25" customHeight="1">
      <c r="D239" s="59"/>
    </row>
    <row r="240" ht="14.25" customHeight="1">
      <c r="D240" s="59"/>
    </row>
    <row r="241" ht="14.25" customHeight="1">
      <c r="D241" s="59"/>
    </row>
    <row r="242" ht="14.25" customHeight="1">
      <c r="D242" s="59"/>
    </row>
    <row r="243" ht="14.25" customHeight="1">
      <c r="D243" s="59"/>
    </row>
    <row r="244" ht="14.25" customHeight="1">
      <c r="D244" s="59"/>
    </row>
    <row r="245" ht="14.25" customHeight="1">
      <c r="D245" s="59"/>
    </row>
    <row r="246" ht="14.25" customHeight="1">
      <c r="D246" s="59"/>
    </row>
    <row r="247" ht="14.25" customHeight="1">
      <c r="D247" s="59"/>
    </row>
    <row r="248" ht="14.25" customHeight="1">
      <c r="D248" s="59"/>
    </row>
    <row r="249" ht="14.25" customHeight="1">
      <c r="D249" s="59"/>
    </row>
    <row r="250" ht="14.25" customHeight="1">
      <c r="D250" s="59"/>
    </row>
    <row r="251" ht="14.25" customHeight="1">
      <c r="D251" s="59"/>
    </row>
    <row r="252" ht="14.25" customHeight="1">
      <c r="D252" s="59"/>
    </row>
    <row r="253" ht="14.25" customHeight="1">
      <c r="D253" s="59"/>
    </row>
    <row r="254" ht="14.25" customHeight="1">
      <c r="D254" s="59"/>
    </row>
    <row r="255" ht="14.25" customHeight="1">
      <c r="D255" s="59"/>
    </row>
    <row r="256" ht="14.25" customHeight="1">
      <c r="D256" s="59"/>
    </row>
    <row r="257" ht="14.25" customHeight="1">
      <c r="D257" s="59"/>
    </row>
    <row r="258" ht="14.25" customHeight="1">
      <c r="D258" s="59"/>
    </row>
    <row r="259" ht="14.25" customHeight="1">
      <c r="D259" s="59"/>
    </row>
    <row r="260" ht="14.25" customHeight="1">
      <c r="D260" s="59"/>
    </row>
    <row r="261" ht="14.25" customHeight="1">
      <c r="D261" s="59"/>
    </row>
    <row r="262" ht="14.25" customHeight="1">
      <c r="D262" s="59"/>
    </row>
    <row r="263" ht="14.25" customHeight="1">
      <c r="D263" s="59"/>
    </row>
    <row r="264" ht="14.25" customHeight="1">
      <c r="D264" s="59"/>
    </row>
    <row r="265" ht="14.25" customHeight="1">
      <c r="D265" s="59"/>
    </row>
    <row r="266" ht="14.25" customHeight="1">
      <c r="D266" s="59"/>
    </row>
    <row r="267" ht="14.25" customHeight="1">
      <c r="D267" s="59"/>
    </row>
    <row r="268" ht="14.25" customHeight="1">
      <c r="D268" s="59"/>
    </row>
    <row r="269" ht="14.25" customHeight="1">
      <c r="D269" s="59"/>
    </row>
    <row r="270" ht="14.25" customHeight="1">
      <c r="D270" s="59"/>
    </row>
    <row r="271" ht="14.25" customHeight="1">
      <c r="D271" s="59"/>
    </row>
    <row r="272" ht="14.25" customHeight="1">
      <c r="D272" s="59"/>
    </row>
    <row r="273" ht="14.25" customHeight="1">
      <c r="D273" s="59"/>
    </row>
    <row r="274" ht="14.25" customHeight="1">
      <c r="D274" s="59"/>
    </row>
    <row r="275" ht="14.25" customHeight="1">
      <c r="D275" s="59"/>
    </row>
    <row r="276" ht="14.25" customHeight="1">
      <c r="D276" s="59"/>
    </row>
    <row r="277" ht="14.25" customHeight="1">
      <c r="D277" s="59"/>
    </row>
    <row r="278" ht="14.25" customHeight="1">
      <c r="D278" s="59"/>
    </row>
    <row r="279" ht="14.25" customHeight="1">
      <c r="D279" s="59"/>
    </row>
    <row r="280" ht="14.25" customHeight="1">
      <c r="D280" s="59"/>
    </row>
    <row r="281" ht="14.25" customHeight="1">
      <c r="D281" s="59"/>
    </row>
    <row r="282" ht="14.25" customHeight="1">
      <c r="D282" s="59"/>
    </row>
    <row r="283" ht="14.25" customHeight="1">
      <c r="D283" s="59"/>
    </row>
    <row r="284" ht="14.25" customHeight="1">
      <c r="D284" s="59"/>
    </row>
    <row r="285" ht="14.25" customHeight="1">
      <c r="D285" s="59"/>
    </row>
    <row r="286" ht="14.25" customHeight="1">
      <c r="D286" s="59"/>
    </row>
    <row r="287" ht="14.25" customHeight="1">
      <c r="D287" s="59"/>
    </row>
    <row r="288" ht="14.25" customHeight="1">
      <c r="D288" s="59"/>
    </row>
    <row r="289" ht="14.25" customHeight="1">
      <c r="D289" s="59"/>
    </row>
    <row r="290" ht="14.25" customHeight="1">
      <c r="D290" s="59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20:G20"/>
    <mergeCell ref="A38:G38"/>
    <mergeCell ref="A56:G56"/>
    <mergeCell ref="A74:G7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119</v>
      </c>
      <c r="B1" s="2"/>
      <c r="C1" s="2"/>
      <c r="D1" s="2"/>
      <c r="E1" s="2"/>
      <c r="F1" s="2"/>
      <c r="G1" s="3"/>
    </row>
    <row r="2">
      <c r="A2" s="4" t="s">
        <v>120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180</v>
      </c>
      <c r="B4" s="15" t="s">
        <v>22</v>
      </c>
      <c r="C4" s="17">
        <f>'WIP FOOD'!$B$41</f>
        <v>1405.043915</v>
      </c>
      <c r="D4" s="19">
        <v>3.0</v>
      </c>
      <c r="E4" s="17">
        <f t="shared" ref="E4:E11" si="1">IFERROR(C4*D4,0)</f>
        <v>4215.131746</v>
      </c>
      <c r="F4" s="15" t="s">
        <v>26</v>
      </c>
      <c r="G4" s="24"/>
    </row>
    <row r="5" ht="14.25" customHeight="1">
      <c r="A5" s="25" t="s">
        <v>79</v>
      </c>
      <c r="B5" s="26" t="s">
        <v>24</v>
      </c>
      <c r="C5" s="28">
        <f>'WIP FOOD'!$B$362</f>
        <v>163.4154588</v>
      </c>
      <c r="D5" s="30">
        <v>20.0</v>
      </c>
      <c r="E5" s="28">
        <f t="shared" si="1"/>
        <v>3268.309176</v>
      </c>
      <c r="F5" s="26"/>
      <c r="G5" s="32"/>
    </row>
    <row r="6" ht="14.25" customHeight="1">
      <c r="A6" s="25" t="s">
        <v>184</v>
      </c>
      <c r="B6" s="26" t="s">
        <v>59</v>
      </c>
      <c r="C6" s="28">
        <f>IFERROR(VLOOKUP(A6,'Market List'!$B:$F,5,FALSE),0)</f>
        <v>0</v>
      </c>
      <c r="D6" s="30">
        <v>5.0</v>
      </c>
      <c r="E6" s="28">
        <f t="shared" si="1"/>
        <v>0</v>
      </c>
      <c r="F6" s="26"/>
      <c r="G6" s="32"/>
    </row>
    <row r="7" ht="14.25" customHeight="1">
      <c r="A7" s="25"/>
      <c r="B7" s="26" t="s">
        <v>24</v>
      </c>
      <c r="C7" s="28"/>
      <c r="D7" s="30"/>
      <c r="E7" s="28">
        <f t="shared" si="1"/>
        <v>0</v>
      </c>
      <c r="F7" s="26"/>
      <c r="G7" s="32"/>
    </row>
    <row r="8" ht="14.25" customHeight="1">
      <c r="A8" s="25"/>
      <c r="B8" s="26"/>
      <c r="C8" s="28"/>
      <c r="D8" s="30"/>
      <c r="E8" s="28">
        <f t="shared" si="1"/>
        <v>0</v>
      </c>
      <c r="F8" s="26"/>
      <c r="G8" s="32"/>
    </row>
    <row r="9" ht="14.25" customHeight="1">
      <c r="A9" s="25"/>
      <c r="B9" s="26"/>
      <c r="C9" s="28"/>
      <c r="D9" s="30"/>
      <c r="E9" s="28">
        <f t="shared" si="1"/>
        <v>0</v>
      </c>
      <c r="F9" s="26"/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7483.440923</v>
      </c>
      <c r="F13" s="48" t="s">
        <v>74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1122.516138</v>
      </c>
      <c r="F14" s="48" t="s">
        <v>76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8605.957061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0</v>
      </c>
      <c r="F16" s="48"/>
      <c r="G16" s="52"/>
    </row>
    <row r="17" ht="14.25" customHeight="1">
      <c r="A17" s="53" t="s">
        <v>73</v>
      </c>
      <c r="B17" s="48"/>
      <c r="C17" s="48"/>
      <c r="D17" s="49"/>
      <c r="E17" s="56">
        <f>IFERROR(E15/E18,0)</f>
        <v>0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78"/>
      <c r="F18" s="48"/>
      <c r="G18" s="52"/>
    </row>
    <row r="19" ht="14.25" customHeight="1">
      <c r="D19" s="60"/>
    </row>
    <row r="20">
      <c r="A20" s="4" t="s">
        <v>123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 t="s">
        <v>196</v>
      </c>
      <c r="B22" s="15" t="s">
        <v>24</v>
      </c>
      <c r="C22" s="17">
        <f>IFERROR(VLOOKUP(A22,'Market List'!$B:$F,5,FALSE),0)</f>
        <v>0</v>
      </c>
      <c r="D22" s="19">
        <v>50.0</v>
      </c>
      <c r="E22" s="17">
        <f t="shared" ref="E22:E29" si="2">IFERROR(C22*D22,0)</f>
        <v>0</v>
      </c>
      <c r="F22" s="15" t="s">
        <v>26</v>
      </c>
      <c r="G22" s="24"/>
    </row>
    <row r="23" ht="14.25" customHeight="1">
      <c r="A23" s="25" t="s">
        <v>41</v>
      </c>
      <c r="B23" s="26" t="s">
        <v>24</v>
      </c>
      <c r="C23" s="28">
        <f>IFERROR(VLOOKUP(A23,'Market List'!$B:$F,5,FALSE),0)</f>
        <v>72.3</v>
      </c>
      <c r="D23" s="30">
        <v>100.0</v>
      </c>
      <c r="E23" s="28">
        <f t="shared" si="2"/>
        <v>7230</v>
      </c>
      <c r="F23" s="26"/>
      <c r="G23" s="32"/>
    </row>
    <row r="24" ht="14.25" customHeight="1">
      <c r="A24" s="25" t="s">
        <v>197</v>
      </c>
      <c r="B24" s="26" t="s">
        <v>198</v>
      </c>
      <c r="C24" s="28">
        <f>IFERROR(VLOOKUP(A24,'Market List'!$B:$F,5,FALSE),0)</f>
        <v>2741.666667</v>
      </c>
      <c r="D24" s="30">
        <v>1.0</v>
      </c>
      <c r="E24" s="28">
        <f t="shared" si="2"/>
        <v>2741.666667</v>
      </c>
      <c r="F24" s="26"/>
      <c r="G24" s="32"/>
    </row>
    <row r="25" ht="14.25" customHeight="1">
      <c r="A25" s="25" t="s">
        <v>200</v>
      </c>
      <c r="B25" s="26" t="s">
        <v>24</v>
      </c>
      <c r="C25" s="28">
        <f>IFERROR(VLOOKUP(A25,'Market List'!$B:$F,5,FALSE),0)</f>
        <v>0</v>
      </c>
      <c r="D25" s="30">
        <v>20.0</v>
      </c>
      <c r="E25" s="28">
        <f t="shared" si="2"/>
        <v>0</v>
      </c>
      <c r="F25" s="26"/>
      <c r="G25" s="32"/>
    </row>
    <row r="26" ht="14.25" customHeight="1">
      <c r="A26" s="25" t="s">
        <v>36</v>
      </c>
      <c r="B26" s="26" t="s">
        <v>24</v>
      </c>
      <c r="C26" s="28">
        <f>IFERROR(VLOOKUP(A26,'Market List'!$B:$F,5,FALSE),0)</f>
        <v>20</v>
      </c>
      <c r="D26" s="30">
        <v>5.0</v>
      </c>
      <c r="E26" s="28">
        <f t="shared" si="2"/>
        <v>100</v>
      </c>
      <c r="F26" s="26"/>
      <c r="G26" s="32"/>
    </row>
    <row r="27" ht="14.25" customHeight="1">
      <c r="A27" s="25" t="s">
        <v>203</v>
      </c>
      <c r="B27" s="26" t="s">
        <v>24</v>
      </c>
      <c r="C27" s="28">
        <f>IFERROR(VLOOKUP(A27,'Market List'!$B:$F,5,FALSE),0)</f>
        <v>0</v>
      </c>
      <c r="D27" s="30">
        <v>10.0</v>
      </c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10071.66667</v>
      </c>
      <c r="F31" s="48" t="s">
        <v>74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1510.75</v>
      </c>
      <c r="F32" s="48" t="s">
        <v>76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11582.41667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0</v>
      </c>
      <c r="F34" s="48"/>
      <c r="G34" s="52"/>
    </row>
    <row r="35" ht="14.25" customHeight="1">
      <c r="A35" s="53" t="s">
        <v>73</v>
      </c>
      <c r="B35" s="48"/>
      <c r="C35" s="48"/>
      <c r="D35" s="49"/>
      <c r="E35" s="56">
        <f>IFERROR(E33/E36,0)</f>
        <v>0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78"/>
      <c r="F36" s="48"/>
      <c r="G36" s="52"/>
    </row>
    <row r="37" ht="14.25" customHeight="1">
      <c r="D37" s="60"/>
    </row>
    <row r="38">
      <c r="A38" s="4" t="s">
        <v>125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 t="s">
        <v>210</v>
      </c>
      <c r="B40" s="15" t="s">
        <v>24</v>
      </c>
      <c r="C40" s="17">
        <f>IFERROR(VLOOKUP(A40,'Market List'!$B:$F,5,FALSE),0)</f>
        <v>0</v>
      </c>
      <c r="D40" s="19">
        <v>48.0</v>
      </c>
      <c r="E40" s="17">
        <f t="shared" ref="E40:E47" si="3">IFERROR(C40*D40,0)</f>
        <v>0</v>
      </c>
      <c r="F40" s="15" t="s">
        <v>26</v>
      </c>
      <c r="G40" s="24"/>
    </row>
    <row r="41" ht="14.25" customHeight="1">
      <c r="A41" s="25" t="s">
        <v>211</v>
      </c>
      <c r="B41" s="26" t="s">
        <v>24</v>
      </c>
      <c r="C41" s="28">
        <f>'WIP FOOD'!$B$421</f>
        <v>811.3636364</v>
      </c>
      <c r="D41" s="30">
        <v>52.0</v>
      </c>
      <c r="E41" s="28">
        <f t="shared" si="3"/>
        <v>42190.90909</v>
      </c>
      <c r="F41" s="26"/>
      <c r="G41" s="32"/>
    </row>
    <row r="42" ht="14.25" customHeight="1">
      <c r="A42" s="25" t="s">
        <v>213</v>
      </c>
      <c r="B42" s="26"/>
      <c r="C42" s="28">
        <f>IFERROR(VLOOKUP(A42,'Market List'!$B:$F,5,FALSE),0)</f>
        <v>0</v>
      </c>
      <c r="D42" s="30">
        <v>40.0</v>
      </c>
      <c r="E42" s="28">
        <f t="shared" si="3"/>
        <v>0</v>
      </c>
      <c r="F42" s="26"/>
      <c r="G42" s="32"/>
    </row>
    <row r="43" ht="14.25" customHeight="1">
      <c r="A43" s="25"/>
      <c r="B43" s="26"/>
      <c r="C43" s="28"/>
      <c r="D43" s="30"/>
      <c r="E43" s="28">
        <f t="shared" si="3"/>
        <v>0</v>
      </c>
      <c r="F43" s="26"/>
      <c r="G43" s="32"/>
    </row>
    <row r="44" ht="14.25" customHeight="1">
      <c r="A44" s="25"/>
      <c r="B44" s="26"/>
      <c r="C44" s="28"/>
      <c r="D44" s="30"/>
      <c r="E44" s="28">
        <f t="shared" si="3"/>
        <v>0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42190.90909</v>
      </c>
      <c r="F49" s="48" t="s">
        <v>74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6328.636364</v>
      </c>
      <c r="F50" s="48" t="s">
        <v>76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48519.54545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0</v>
      </c>
      <c r="F52" s="48"/>
      <c r="G52" s="52"/>
    </row>
    <row r="53" ht="14.25" customHeight="1">
      <c r="A53" s="53" t="s">
        <v>73</v>
      </c>
      <c r="B53" s="48"/>
      <c r="C53" s="48"/>
      <c r="D53" s="49"/>
      <c r="E53" s="56">
        <f>IFERROR(E51/E54,0)</f>
        <v>0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78"/>
      <c r="F54" s="48"/>
      <c r="G54" s="52"/>
    </row>
    <row r="55" ht="14.25" customHeight="1">
      <c r="D55" s="60"/>
    </row>
    <row r="56">
      <c r="A56" s="4" t="s">
        <v>128</v>
      </c>
    </row>
    <row r="57" ht="14.25" customHeight="1">
      <c r="A57" s="6" t="s">
        <v>8</v>
      </c>
      <c r="B57" s="8" t="s">
        <v>10</v>
      </c>
      <c r="C57" s="8" t="s">
        <v>12</v>
      </c>
      <c r="D57" s="10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/>
      <c r="B58" s="15"/>
      <c r="C58" s="17"/>
      <c r="D58" s="19"/>
      <c r="E58" s="17">
        <f t="shared" ref="E58:E65" si="4">IFERROR(C58*D58,0)</f>
        <v>0</v>
      </c>
      <c r="F58" s="15" t="s">
        <v>26</v>
      </c>
      <c r="G58" s="24"/>
    </row>
    <row r="59" ht="14.25" customHeight="1">
      <c r="A59" s="25"/>
      <c r="B59" s="26"/>
      <c r="C59" s="28"/>
      <c r="D59" s="30"/>
      <c r="E59" s="28">
        <f t="shared" si="4"/>
        <v>0</v>
      </c>
      <c r="F59" s="26"/>
      <c r="G59" s="32"/>
    </row>
    <row r="60" ht="14.25" customHeight="1">
      <c r="A60" s="25"/>
      <c r="B60" s="26"/>
      <c r="C60" s="28"/>
      <c r="D60" s="30"/>
      <c r="E60" s="28">
        <f t="shared" si="4"/>
        <v>0</v>
      </c>
      <c r="F60" s="26"/>
      <c r="G60" s="32"/>
    </row>
    <row r="61" ht="14.25" customHeight="1">
      <c r="A61" s="25"/>
      <c r="B61" s="26"/>
      <c r="C61" s="28"/>
      <c r="D61" s="30"/>
      <c r="E61" s="28">
        <f t="shared" si="4"/>
        <v>0</v>
      </c>
      <c r="F61" s="26"/>
      <c r="G61" s="32"/>
    </row>
    <row r="62" ht="14.25" customHeight="1">
      <c r="A62" s="25"/>
      <c r="B62" s="26"/>
      <c r="C62" s="28"/>
      <c r="D62" s="30"/>
      <c r="E62" s="28">
        <f t="shared" si="4"/>
        <v>0</v>
      </c>
      <c r="F62" s="26"/>
      <c r="G62" s="32"/>
    </row>
    <row r="63" ht="14.25" customHeight="1">
      <c r="A63" s="25"/>
      <c r="B63" s="26"/>
      <c r="C63" s="28"/>
      <c r="D63" s="30"/>
      <c r="E63" s="28">
        <f t="shared" si="4"/>
        <v>0</v>
      </c>
      <c r="F63" s="26"/>
      <c r="G63" s="32"/>
    </row>
    <row r="64" ht="14.25" customHeight="1">
      <c r="A64" s="25"/>
      <c r="B64" s="26"/>
      <c r="C64" s="28"/>
      <c r="D64" s="30"/>
      <c r="E64" s="28">
        <f t="shared" si="4"/>
        <v>0</v>
      </c>
      <c r="F64" s="26"/>
      <c r="G64" s="32"/>
    </row>
    <row r="65" ht="14.25" customHeight="1">
      <c r="A65" s="36"/>
      <c r="B65" s="37"/>
      <c r="C65" s="38"/>
      <c r="D65" s="39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5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49"/>
      <c r="E67" s="51">
        <f>SUM(E58:E66)</f>
        <v>0</v>
      </c>
      <c r="F67" s="48" t="s">
        <v>74</v>
      </c>
      <c r="G67" s="52"/>
    </row>
    <row r="68" ht="14.25" customHeight="1">
      <c r="A68" s="47" t="s">
        <v>67</v>
      </c>
      <c r="B68" s="48"/>
      <c r="C68" s="48"/>
      <c r="D68" s="49"/>
      <c r="E68" s="51">
        <f>E67*15%</f>
        <v>0</v>
      </c>
      <c r="F68" s="48" t="s">
        <v>76</v>
      </c>
      <c r="G68" s="52"/>
    </row>
    <row r="69" ht="14.25" customHeight="1">
      <c r="A69" s="47" t="s">
        <v>70</v>
      </c>
      <c r="B69" s="48"/>
      <c r="C69" s="48"/>
      <c r="D69" s="49"/>
      <c r="E69" s="51">
        <f>E67+E68</f>
        <v>0</v>
      </c>
      <c r="F69" s="48"/>
      <c r="G69" s="52"/>
    </row>
    <row r="70" ht="14.25" customHeight="1">
      <c r="A70" s="47" t="s">
        <v>71</v>
      </c>
      <c r="B70" s="48"/>
      <c r="C70" s="48"/>
      <c r="D70" s="49"/>
      <c r="E70" s="51">
        <f>IF(E72&gt;0,E72-E69,0)</f>
        <v>0</v>
      </c>
      <c r="F70" s="48"/>
      <c r="G70" s="52"/>
    </row>
    <row r="71" ht="14.25" customHeight="1">
      <c r="A71" s="53" t="s">
        <v>73</v>
      </c>
      <c r="B71" s="48"/>
      <c r="C71" s="48"/>
      <c r="D71" s="49"/>
      <c r="E71" s="56">
        <f>IFERROR(E69/E72,0)</f>
        <v>0</v>
      </c>
      <c r="F71" s="48"/>
      <c r="G71" s="52"/>
    </row>
    <row r="72" ht="14.25" customHeight="1">
      <c r="A72" s="47" t="s">
        <v>11</v>
      </c>
      <c r="B72" s="48"/>
      <c r="C72" s="48"/>
      <c r="D72" s="49"/>
      <c r="E72" s="78"/>
      <c r="F72" s="48"/>
      <c r="G72" s="52"/>
    </row>
    <row r="73" ht="14.25" customHeight="1">
      <c r="D73" s="60"/>
    </row>
    <row r="74">
      <c r="A74" s="4" t="s">
        <v>133</v>
      </c>
    </row>
    <row r="75" ht="14.25" customHeight="1">
      <c r="A75" s="6" t="s">
        <v>8</v>
      </c>
      <c r="B75" s="8" t="s">
        <v>10</v>
      </c>
      <c r="C75" s="8" t="s">
        <v>12</v>
      </c>
      <c r="D75" s="10" t="s">
        <v>13</v>
      </c>
      <c r="E75" s="8" t="s">
        <v>16</v>
      </c>
      <c r="F75" s="8" t="s">
        <v>17</v>
      </c>
      <c r="G75" s="13" t="s">
        <v>18</v>
      </c>
    </row>
    <row r="76" ht="14.25" customHeight="1">
      <c r="A76" s="14"/>
      <c r="B76" s="15"/>
      <c r="C76" s="17"/>
      <c r="D76" s="19"/>
      <c r="E76" s="17">
        <f t="shared" ref="E76:E83" si="5">IFERROR(C76*D76,0)</f>
        <v>0</v>
      </c>
      <c r="F76" s="15" t="s">
        <v>26</v>
      </c>
      <c r="G76" s="24"/>
    </row>
    <row r="77" ht="14.25" customHeight="1">
      <c r="A77" s="25"/>
      <c r="B77" s="26"/>
      <c r="C77" s="28"/>
      <c r="D77" s="30"/>
      <c r="E77" s="28">
        <f t="shared" si="5"/>
        <v>0</v>
      </c>
      <c r="F77" s="26"/>
      <c r="G77" s="32"/>
    </row>
    <row r="78" ht="14.25" customHeight="1">
      <c r="A78" s="25"/>
      <c r="B78" s="26"/>
      <c r="C78" s="28"/>
      <c r="D78" s="30"/>
      <c r="E78" s="28">
        <f t="shared" si="5"/>
        <v>0</v>
      </c>
      <c r="F78" s="26"/>
      <c r="G78" s="32"/>
    </row>
    <row r="79" ht="14.25" customHeight="1">
      <c r="A79" s="25"/>
      <c r="B79" s="26"/>
      <c r="C79" s="28"/>
      <c r="D79" s="30"/>
      <c r="E79" s="28">
        <f t="shared" si="5"/>
        <v>0</v>
      </c>
      <c r="F79" s="26"/>
      <c r="G79" s="32"/>
    </row>
    <row r="80" ht="14.25" customHeight="1">
      <c r="A80" s="25"/>
      <c r="B80" s="26"/>
      <c r="C80" s="28"/>
      <c r="D80" s="30"/>
      <c r="E80" s="28">
        <f t="shared" si="5"/>
        <v>0</v>
      </c>
      <c r="F80" s="26"/>
      <c r="G80" s="32"/>
    </row>
    <row r="81" ht="14.25" customHeight="1">
      <c r="A81" s="25"/>
      <c r="B81" s="26"/>
      <c r="C81" s="28"/>
      <c r="D81" s="30"/>
      <c r="E81" s="28">
        <f t="shared" si="5"/>
        <v>0</v>
      </c>
      <c r="F81" s="26"/>
      <c r="G81" s="32"/>
    </row>
    <row r="82" ht="14.25" customHeight="1">
      <c r="A82" s="25"/>
      <c r="B82" s="26"/>
      <c r="C82" s="28"/>
      <c r="D82" s="30"/>
      <c r="E82" s="28">
        <f t="shared" si="5"/>
        <v>0</v>
      </c>
      <c r="F82" s="26"/>
      <c r="G82" s="32"/>
    </row>
    <row r="83" ht="14.25" customHeight="1">
      <c r="A83" s="36"/>
      <c r="B83" s="37"/>
      <c r="C83" s="38"/>
      <c r="D83" s="39"/>
      <c r="E83" s="38">
        <f t="shared" si="5"/>
        <v>0</v>
      </c>
      <c r="F83" s="37"/>
      <c r="G83" s="41"/>
    </row>
    <row r="84" ht="14.25" customHeight="1">
      <c r="A84" s="42" t="s">
        <v>62</v>
      </c>
      <c r="B84" s="43"/>
      <c r="C84" s="43"/>
      <c r="D84" s="45"/>
      <c r="E84" s="43">
        <v>0.0</v>
      </c>
      <c r="F84" s="43"/>
      <c r="G84" s="46"/>
    </row>
    <row r="85" ht="14.25" customHeight="1">
      <c r="A85" s="47" t="s">
        <v>64</v>
      </c>
      <c r="B85" s="48"/>
      <c r="C85" s="48"/>
      <c r="D85" s="49"/>
      <c r="E85" s="51">
        <f>SUM(E76:E84)</f>
        <v>0</v>
      </c>
      <c r="F85" s="48" t="s">
        <v>74</v>
      </c>
      <c r="G85" s="52"/>
    </row>
    <row r="86" ht="14.25" customHeight="1">
      <c r="A86" s="47" t="s">
        <v>67</v>
      </c>
      <c r="B86" s="48"/>
      <c r="C86" s="48"/>
      <c r="D86" s="49"/>
      <c r="E86" s="51">
        <f>E85*15%</f>
        <v>0</v>
      </c>
      <c r="F86" s="48" t="s">
        <v>76</v>
      </c>
      <c r="G86" s="52"/>
    </row>
    <row r="87" ht="14.25" customHeight="1">
      <c r="A87" s="47" t="s">
        <v>70</v>
      </c>
      <c r="B87" s="48"/>
      <c r="C87" s="48"/>
      <c r="D87" s="49"/>
      <c r="E87" s="51">
        <f>E85+E86</f>
        <v>0</v>
      </c>
      <c r="F87" s="48"/>
      <c r="G87" s="52"/>
    </row>
    <row r="88" ht="14.25" customHeight="1">
      <c r="A88" s="47" t="s">
        <v>71</v>
      </c>
      <c r="B88" s="48"/>
      <c r="C88" s="48"/>
      <c r="D88" s="49"/>
      <c r="E88" s="51">
        <f>IF(E90&gt;0,E90-E87,0)</f>
        <v>0</v>
      </c>
      <c r="F88" s="48"/>
      <c r="G88" s="52"/>
    </row>
    <row r="89" ht="14.25" customHeight="1">
      <c r="A89" s="53" t="s">
        <v>73</v>
      </c>
      <c r="B89" s="48"/>
      <c r="C89" s="48"/>
      <c r="D89" s="49"/>
      <c r="E89" s="56">
        <f>IFERROR(E87/E90,0)</f>
        <v>0</v>
      </c>
      <c r="F89" s="48"/>
      <c r="G89" s="52"/>
    </row>
    <row r="90" ht="14.25" customHeight="1">
      <c r="A90" s="47" t="s">
        <v>11</v>
      </c>
      <c r="B90" s="48"/>
      <c r="C90" s="48"/>
      <c r="D90" s="49"/>
      <c r="E90" s="78"/>
      <c r="F90" s="48"/>
      <c r="G90" s="52"/>
    </row>
    <row r="91" ht="14.25" customHeight="1">
      <c r="D91" s="60"/>
    </row>
    <row r="92">
      <c r="A92" s="4" t="s">
        <v>137</v>
      </c>
    </row>
    <row r="93" ht="14.25" customHeight="1">
      <c r="A93" s="6" t="s">
        <v>8</v>
      </c>
      <c r="B93" s="8" t="s">
        <v>10</v>
      </c>
      <c r="C93" s="8" t="s">
        <v>12</v>
      </c>
      <c r="D93" s="10" t="s">
        <v>13</v>
      </c>
      <c r="E93" s="8" t="s">
        <v>16</v>
      </c>
      <c r="F93" s="8" t="s">
        <v>17</v>
      </c>
      <c r="G93" s="13" t="s">
        <v>18</v>
      </c>
    </row>
    <row r="94" ht="14.25" customHeight="1">
      <c r="A94" s="14" t="s">
        <v>211</v>
      </c>
      <c r="B94" s="15" t="s">
        <v>24</v>
      </c>
      <c r="C94" s="17">
        <f>'WIP FOOD'!$B$421</f>
        <v>811.3636364</v>
      </c>
      <c r="D94" s="19">
        <v>180.0</v>
      </c>
      <c r="E94" s="17">
        <f t="shared" ref="E94:E101" si="6">IFERROR(C94*D94,0)</f>
        <v>146045.4545</v>
      </c>
      <c r="F94" s="15" t="s">
        <v>26</v>
      </c>
      <c r="G94" s="24"/>
    </row>
    <row r="95" ht="14.25" customHeight="1">
      <c r="A95" s="25" t="s">
        <v>197</v>
      </c>
      <c r="B95" s="26" t="s">
        <v>24</v>
      </c>
      <c r="C95" s="28">
        <f>IFERROR(VLOOKUP(A95,'Market List'!$B:$F,5,FALSE),0)</f>
        <v>2741.666667</v>
      </c>
      <c r="D95" s="30">
        <v>15.0</v>
      </c>
      <c r="E95" s="28">
        <f t="shared" si="6"/>
        <v>41125</v>
      </c>
      <c r="F95" s="26"/>
      <c r="G95" s="32"/>
    </row>
    <row r="96" ht="14.25" customHeight="1">
      <c r="A96" s="25" t="s">
        <v>232</v>
      </c>
      <c r="B96" s="26" t="s">
        <v>24</v>
      </c>
      <c r="C96" s="28">
        <f>IFERROR(VLOOKUP(A96,'Market List'!$B:$F,5,FALSE),0)</f>
        <v>17.5</v>
      </c>
      <c r="D96" s="30">
        <v>12.0</v>
      </c>
      <c r="E96" s="28">
        <f t="shared" si="6"/>
        <v>210</v>
      </c>
      <c r="F96" s="26"/>
      <c r="G96" s="32"/>
    </row>
    <row r="97" ht="14.25" customHeight="1">
      <c r="A97" s="25" t="s">
        <v>242</v>
      </c>
      <c r="B97" s="26" t="s">
        <v>24</v>
      </c>
      <c r="C97" s="28">
        <f>IFERROR(VLOOKUP(A97,'Market List'!$B:$F,5,FALSE),0)</f>
        <v>0</v>
      </c>
      <c r="D97" s="30">
        <v>60.0</v>
      </c>
      <c r="E97" s="28">
        <f t="shared" si="6"/>
        <v>0</v>
      </c>
      <c r="F97" s="26"/>
      <c r="G97" s="32"/>
    </row>
    <row r="98" ht="14.25" customHeight="1">
      <c r="A98" s="25" t="s">
        <v>244</v>
      </c>
      <c r="B98" s="26" t="s">
        <v>24</v>
      </c>
      <c r="C98" s="28">
        <f>IFERROR(VLOOKUP(A98,'Market List'!$B:$F,5,FALSE),0)</f>
        <v>0</v>
      </c>
      <c r="D98" s="30">
        <v>24.0</v>
      </c>
      <c r="E98" s="28">
        <f t="shared" si="6"/>
        <v>0</v>
      </c>
      <c r="F98" s="26"/>
      <c r="G98" s="32"/>
    </row>
    <row r="99" ht="14.25" customHeight="1">
      <c r="A99" s="25" t="s">
        <v>246</v>
      </c>
      <c r="B99" s="26"/>
      <c r="C99" s="28">
        <f>'WIP FOOD'!$B$627</f>
        <v>34.23830409</v>
      </c>
      <c r="D99" s="30"/>
      <c r="E99" s="28">
        <f t="shared" si="6"/>
        <v>0</v>
      </c>
      <c r="F99" s="26"/>
      <c r="G99" s="32"/>
    </row>
    <row r="100" ht="14.25" customHeight="1">
      <c r="A100" s="25" t="s">
        <v>79</v>
      </c>
      <c r="B100" s="26"/>
      <c r="C100" s="28">
        <f>'WIP FOOD'!$B$362</f>
        <v>163.4154588</v>
      </c>
      <c r="D100" s="30"/>
      <c r="E100" s="28">
        <f t="shared" si="6"/>
        <v>0</v>
      </c>
      <c r="F100" s="26"/>
      <c r="G100" s="32"/>
    </row>
    <row r="101" ht="14.25" customHeight="1">
      <c r="A101" s="36" t="s">
        <v>53</v>
      </c>
      <c r="B101" s="37" t="s">
        <v>24</v>
      </c>
      <c r="C101" s="38">
        <f>'WIP FOOD'!$B$218</f>
        <v>362.7209213</v>
      </c>
      <c r="D101" s="39"/>
      <c r="E101" s="38">
        <f t="shared" si="6"/>
        <v>0</v>
      </c>
      <c r="F101" s="37"/>
      <c r="G101" s="41"/>
    </row>
    <row r="102" ht="14.25" customHeight="1">
      <c r="A102" s="42" t="s">
        <v>62</v>
      </c>
      <c r="B102" s="43"/>
      <c r="C102" s="43"/>
      <c r="D102" s="45"/>
      <c r="E102" s="43">
        <v>0.0</v>
      </c>
      <c r="F102" s="43"/>
      <c r="G102" s="46"/>
    </row>
    <row r="103" ht="14.25" customHeight="1">
      <c r="A103" s="47" t="s">
        <v>64</v>
      </c>
      <c r="B103" s="48"/>
      <c r="C103" s="48"/>
      <c r="D103" s="49"/>
      <c r="E103" s="51">
        <f>SUM(E94:E102)</f>
        <v>187380.4545</v>
      </c>
      <c r="F103" s="48" t="s">
        <v>74</v>
      </c>
      <c r="G103" s="52"/>
    </row>
    <row r="104" ht="14.25" customHeight="1">
      <c r="A104" s="47" t="s">
        <v>67</v>
      </c>
      <c r="B104" s="48"/>
      <c r="C104" s="48"/>
      <c r="D104" s="49"/>
      <c r="E104" s="51">
        <f>E103*15%</f>
        <v>28107.06818</v>
      </c>
      <c r="F104" s="48" t="s">
        <v>76</v>
      </c>
      <c r="G104" s="52"/>
    </row>
    <row r="105" ht="14.25" customHeight="1">
      <c r="A105" s="47" t="s">
        <v>70</v>
      </c>
      <c r="B105" s="48"/>
      <c r="C105" s="48"/>
      <c r="D105" s="49"/>
      <c r="E105" s="51">
        <f>E103+E104</f>
        <v>215487.5227</v>
      </c>
      <c r="F105" s="48"/>
      <c r="G105" s="52"/>
    </row>
    <row r="106" ht="14.25" customHeight="1">
      <c r="A106" s="47" t="s">
        <v>71</v>
      </c>
      <c r="B106" s="48"/>
      <c r="C106" s="48"/>
      <c r="D106" s="49"/>
      <c r="E106" s="51">
        <f>IF(E108&gt;0,E108-E105,0)</f>
        <v>0</v>
      </c>
      <c r="F106" s="48"/>
      <c r="G106" s="52"/>
    </row>
    <row r="107" ht="14.25" customHeight="1">
      <c r="A107" s="53" t="s">
        <v>73</v>
      </c>
      <c r="B107" s="48"/>
      <c r="C107" s="48"/>
      <c r="D107" s="49"/>
      <c r="E107" s="56">
        <f>IFERROR(E105/E108,0)</f>
        <v>0</v>
      </c>
      <c r="F107" s="48"/>
      <c r="G107" s="52"/>
    </row>
    <row r="108" ht="14.25" customHeight="1">
      <c r="A108" s="47" t="s">
        <v>11</v>
      </c>
      <c r="B108" s="48"/>
      <c r="C108" s="48"/>
      <c r="D108" s="49"/>
      <c r="E108" s="78"/>
      <c r="F108" s="48"/>
      <c r="G108" s="52"/>
    </row>
    <row r="109" ht="14.25" customHeight="1">
      <c r="D109" s="60"/>
    </row>
    <row r="110">
      <c r="A110" s="4" t="s">
        <v>140</v>
      </c>
    </row>
    <row r="111" ht="14.25" customHeight="1">
      <c r="A111" s="6" t="s">
        <v>8</v>
      </c>
      <c r="B111" s="8" t="s">
        <v>10</v>
      </c>
      <c r="C111" s="8" t="s">
        <v>12</v>
      </c>
      <c r="D111" s="10" t="s">
        <v>13</v>
      </c>
      <c r="E111" s="8" t="s">
        <v>16</v>
      </c>
      <c r="F111" s="8" t="s">
        <v>17</v>
      </c>
      <c r="G111" s="13" t="s">
        <v>18</v>
      </c>
    </row>
    <row r="112" ht="14.25" customHeight="1">
      <c r="A112" s="14"/>
      <c r="B112" s="15"/>
      <c r="C112" s="17"/>
      <c r="D112" s="19"/>
      <c r="E112" s="17">
        <f t="shared" ref="E112:E119" si="7">IFERROR(C112*D112,0)</f>
        <v>0</v>
      </c>
      <c r="F112" s="15" t="s">
        <v>26</v>
      </c>
      <c r="G112" s="24"/>
    </row>
    <row r="113" ht="14.25" customHeight="1">
      <c r="A113" s="25"/>
      <c r="B113" s="26"/>
      <c r="C113" s="28"/>
      <c r="D113" s="30"/>
      <c r="E113" s="28">
        <f t="shared" si="7"/>
        <v>0</v>
      </c>
      <c r="F113" s="26"/>
      <c r="G113" s="32"/>
    </row>
    <row r="114" ht="14.25" customHeight="1">
      <c r="A114" s="25"/>
      <c r="B114" s="26"/>
      <c r="C114" s="28"/>
      <c r="D114" s="30"/>
      <c r="E114" s="28">
        <f t="shared" si="7"/>
        <v>0</v>
      </c>
      <c r="F114" s="26"/>
      <c r="G114" s="32"/>
    </row>
    <row r="115" ht="14.25" customHeight="1">
      <c r="A115" s="25"/>
      <c r="B115" s="26"/>
      <c r="C115" s="28"/>
      <c r="D115" s="30"/>
      <c r="E115" s="28">
        <f t="shared" si="7"/>
        <v>0</v>
      </c>
      <c r="F115" s="26"/>
      <c r="G115" s="32"/>
    </row>
    <row r="116" ht="14.25" customHeight="1">
      <c r="A116" s="25"/>
      <c r="B116" s="26"/>
      <c r="C116" s="28"/>
      <c r="D116" s="30"/>
      <c r="E116" s="28">
        <f t="shared" si="7"/>
        <v>0</v>
      </c>
      <c r="F116" s="26"/>
      <c r="G116" s="32"/>
    </row>
    <row r="117" ht="14.25" customHeight="1">
      <c r="A117" s="25"/>
      <c r="B117" s="26"/>
      <c r="C117" s="28"/>
      <c r="D117" s="30"/>
      <c r="E117" s="28">
        <f t="shared" si="7"/>
        <v>0</v>
      </c>
      <c r="F117" s="26"/>
      <c r="G117" s="32"/>
    </row>
    <row r="118" ht="14.25" customHeight="1">
      <c r="A118" s="25"/>
      <c r="B118" s="26"/>
      <c r="C118" s="28"/>
      <c r="D118" s="30"/>
      <c r="E118" s="28">
        <f t="shared" si="7"/>
        <v>0</v>
      </c>
      <c r="F118" s="26"/>
      <c r="G118" s="32"/>
    </row>
    <row r="119" ht="14.25" customHeight="1">
      <c r="A119" s="36"/>
      <c r="B119" s="37"/>
      <c r="C119" s="38"/>
      <c r="D119" s="39"/>
      <c r="E119" s="38">
        <f t="shared" si="7"/>
        <v>0</v>
      </c>
      <c r="F119" s="37"/>
      <c r="G119" s="41"/>
    </row>
    <row r="120" ht="14.25" customHeight="1">
      <c r="A120" s="42" t="s">
        <v>62</v>
      </c>
      <c r="B120" s="43"/>
      <c r="C120" s="43"/>
      <c r="D120" s="45"/>
      <c r="E120" s="43">
        <v>0.0</v>
      </c>
      <c r="F120" s="43"/>
      <c r="G120" s="46"/>
    </row>
    <row r="121" ht="14.25" customHeight="1">
      <c r="A121" s="47" t="s">
        <v>64</v>
      </c>
      <c r="B121" s="48"/>
      <c r="C121" s="48"/>
      <c r="D121" s="49"/>
      <c r="E121" s="51">
        <f>SUM(E112:E120)</f>
        <v>0</v>
      </c>
      <c r="F121" s="48" t="s">
        <v>74</v>
      </c>
      <c r="G121" s="52"/>
    </row>
    <row r="122" ht="14.25" customHeight="1">
      <c r="A122" s="47" t="s">
        <v>67</v>
      </c>
      <c r="B122" s="48"/>
      <c r="C122" s="48"/>
      <c r="D122" s="49"/>
      <c r="E122" s="51">
        <f>E121*15%</f>
        <v>0</v>
      </c>
      <c r="F122" s="48" t="s">
        <v>76</v>
      </c>
      <c r="G122" s="52"/>
    </row>
    <row r="123" ht="14.25" customHeight="1">
      <c r="A123" s="47" t="s">
        <v>70</v>
      </c>
      <c r="B123" s="48"/>
      <c r="C123" s="48"/>
      <c r="D123" s="49"/>
      <c r="E123" s="51">
        <f>E121+E122</f>
        <v>0</v>
      </c>
      <c r="F123" s="48"/>
      <c r="G123" s="52"/>
    </row>
    <row r="124" ht="14.25" customHeight="1">
      <c r="A124" s="47" t="s">
        <v>71</v>
      </c>
      <c r="B124" s="48"/>
      <c r="C124" s="48"/>
      <c r="D124" s="49"/>
      <c r="E124" s="51">
        <f>IF(E126&gt;0,E126-E123,0)</f>
        <v>0</v>
      </c>
      <c r="F124" s="48"/>
      <c r="G124" s="52"/>
    </row>
    <row r="125" ht="14.25" customHeight="1">
      <c r="A125" s="53" t="s">
        <v>73</v>
      </c>
      <c r="B125" s="48"/>
      <c r="C125" s="48"/>
      <c r="D125" s="49"/>
      <c r="E125" s="56">
        <f>IFERROR(E123/E126,0)</f>
        <v>0</v>
      </c>
      <c r="F125" s="48"/>
      <c r="G125" s="52"/>
    </row>
    <row r="126" ht="14.25" customHeight="1">
      <c r="A126" s="47" t="s">
        <v>11</v>
      </c>
      <c r="B126" s="48"/>
      <c r="C126" s="48"/>
      <c r="D126" s="49"/>
      <c r="E126" s="78"/>
      <c r="F126" s="48"/>
      <c r="G126" s="52"/>
    </row>
    <row r="127" ht="14.25" customHeight="1">
      <c r="D127" s="60"/>
    </row>
    <row r="128">
      <c r="A128" s="4" t="s">
        <v>142</v>
      </c>
    </row>
    <row r="129" ht="14.25" customHeight="1">
      <c r="A129" s="6" t="s">
        <v>8</v>
      </c>
      <c r="B129" s="8" t="s">
        <v>10</v>
      </c>
      <c r="C129" s="8" t="s">
        <v>12</v>
      </c>
      <c r="D129" s="10" t="s">
        <v>13</v>
      </c>
      <c r="E129" s="8" t="s">
        <v>16</v>
      </c>
      <c r="F129" s="8" t="s">
        <v>17</v>
      </c>
      <c r="G129" s="13" t="s">
        <v>18</v>
      </c>
    </row>
    <row r="130" ht="14.25" customHeight="1">
      <c r="A130" s="14"/>
      <c r="B130" s="15"/>
      <c r="C130" s="17"/>
      <c r="D130" s="19"/>
      <c r="E130" s="17">
        <f t="shared" ref="E130:E137" si="8">IFERROR(C130*D130,0)</f>
        <v>0</v>
      </c>
      <c r="F130" s="15" t="s">
        <v>26</v>
      </c>
      <c r="G130" s="24"/>
    </row>
    <row r="131" ht="14.25" customHeight="1">
      <c r="A131" s="25"/>
      <c r="B131" s="26"/>
      <c r="C131" s="28"/>
      <c r="D131" s="30"/>
      <c r="E131" s="28">
        <f t="shared" si="8"/>
        <v>0</v>
      </c>
      <c r="F131" s="26"/>
      <c r="G131" s="32"/>
    </row>
    <row r="132" ht="14.25" customHeight="1">
      <c r="A132" s="25"/>
      <c r="B132" s="26"/>
      <c r="C132" s="28"/>
      <c r="D132" s="30"/>
      <c r="E132" s="28">
        <f t="shared" si="8"/>
        <v>0</v>
      </c>
      <c r="F132" s="26"/>
      <c r="G132" s="32"/>
    </row>
    <row r="133" ht="14.25" customHeight="1">
      <c r="A133" s="25"/>
      <c r="B133" s="26"/>
      <c r="C133" s="28"/>
      <c r="D133" s="30"/>
      <c r="E133" s="28">
        <f t="shared" si="8"/>
        <v>0</v>
      </c>
      <c r="F133" s="26"/>
      <c r="G133" s="32"/>
    </row>
    <row r="134" ht="14.25" customHeight="1">
      <c r="A134" s="25"/>
      <c r="B134" s="26"/>
      <c r="C134" s="28"/>
      <c r="D134" s="30"/>
      <c r="E134" s="28">
        <f t="shared" si="8"/>
        <v>0</v>
      </c>
      <c r="F134" s="26"/>
      <c r="G134" s="32"/>
    </row>
    <row r="135" ht="14.25" customHeight="1">
      <c r="A135" s="25"/>
      <c r="B135" s="26"/>
      <c r="C135" s="28"/>
      <c r="D135" s="30"/>
      <c r="E135" s="28">
        <f t="shared" si="8"/>
        <v>0</v>
      </c>
      <c r="F135" s="26"/>
      <c r="G135" s="32"/>
    </row>
    <row r="136" ht="14.25" customHeight="1">
      <c r="A136" s="25"/>
      <c r="B136" s="26"/>
      <c r="C136" s="28"/>
      <c r="D136" s="30"/>
      <c r="E136" s="28">
        <f t="shared" si="8"/>
        <v>0</v>
      </c>
      <c r="F136" s="26"/>
      <c r="G136" s="32"/>
    </row>
    <row r="137" ht="14.25" customHeight="1">
      <c r="A137" s="36"/>
      <c r="B137" s="37"/>
      <c r="C137" s="38"/>
      <c r="D137" s="39"/>
      <c r="E137" s="38">
        <f t="shared" si="8"/>
        <v>0</v>
      </c>
      <c r="F137" s="37"/>
      <c r="G137" s="41"/>
    </row>
    <row r="138" ht="14.25" customHeight="1">
      <c r="A138" s="42" t="s">
        <v>62</v>
      </c>
      <c r="B138" s="43"/>
      <c r="C138" s="43"/>
      <c r="D138" s="45"/>
      <c r="E138" s="43">
        <v>0.0</v>
      </c>
      <c r="F138" s="43"/>
      <c r="G138" s="46"/>
    </row>
    <row r="139" ht="14.25" customHeight="1">
      <c r="A139" s="47" t="s">
        <v>64</v>
      </c>
      <c r="B139" s="48"/>
      <c r="C139" s="48"/>
      <c r="D139" s="49"/>
      <c r="E139" s="51">
        <f>SUM(E130:E138)</f>
        <v>0</v>
      </c>
      <c r="F139" s="48" t="s">
        <v>74</v>
      </c>
      <c r="G139" s="52"/>
    </row>
    <row r="140" ht="14.25" customHeight="1">
      <c r="A140" s="47" t="s">
        <v>67</v>
      </c>
      <c r="B140" s="48"/>
      <c r="C140" s="48"/>
      <c r="D140" s="49"/>
      <c r="E140" s="51">
        <f>E139*15%</f>
        <v>0</v>
      </c>
      <c r="F140" s="48" t="s">
        <v>76</v>
      </c>
      <c r="G140" s="52"/>
    </row>
    <row r="141" ht="14.25" customHeight="1">
      <c r="A141" s="47" t="s">
        <v>70</v>
      </c>
      <c r="B141" s="48"/>
      <c r="C141" s="48"/>
      <c r="D141" s="49"/>
      <c r="E141" s="51">
        <f>E139+E140</f>
        <v>0</v>
      </c>
      <c r="F141" s="48"/>
      <c r="G141" s="52"/>
    </row>
    <row r="142" ht="14.25" customHeight="1">
      <c r="A142" s="47" t="s">
        <v>71</v>
      </c>
      <c r="B142" s="48"/>
      <c r="C142" s="48"/>
      <c r="D142" s="49"/>
      <c r="E142" s="51">
        <f>IF(E144&gt;0,E144-E141,0)</f>
        <v>0</v>
      </c>
      <c r="F142" s="48"/>
      <c r="G142" s="52"/>
    </row>
    <row r="143" ht="14.25" customHeight="1">
      <c r="A143" s="53" t="s">
        <v>73</v>
      </c>
      <c r="B143" s="48"/>
      <c r="C143" s="48"/>
      <c r="D143" s="49"/>
      <c r="E143" s="56">
        <f>IFERROR(E141/E144,0)</f>
        <v>0</v>
      </c>
      <c r="F143" s="48"/>
      <c r="G143" s="52"/>
    </row>
    <row r="144" ht="14.25" customHeight="1">
      <c r="A144" s="47" t="s">
        <v>11</v>
      </c>
      <c r="B144" s="48"/>
      <c r="C144" s="48"/>
      <c r="D144" s="49"/>
      <c r="E144" s="78"/>
      <c r="F144" s="48"/>
      <c r="G144" s="52"/>
    </row>
    <row r="145" ht="14.25" customHeight="1">
      <c r="D145" s="60"/>
    </row>
    <row r="146">
      <c r="A146" s="4" t="s">
        <v>144</v>
      </c>
    </row>
    <row r="147" ht="14.25" customHeight="1">
      <c r="A147" s="6" t="s">
        <v>8</v>
      </c>
      <c r="B147" s="8" t="s">
        <v>10</v>
      </c>
      <c r="C147" s="8" t="s">
        <v>12</v>
      </c>
      <c r="D147" s="10" t="s">
        <v>13</v>
      </c>
      <c r="E147" s="8" t="s">
        <v>16</v>
      </c>
      <c r="F147" s="8" t="s">
        <v>17</v>
      </c>
      <c r="G147" s="13" t="s">
        <v>18</v>
      </c>
    </row>
    <row r="148" ht="14.25" customHeight="1">
      <c r="A148" s="14"/>
      <c r="B148" s="15"/>
      <c r="C148" s="17"/>
      <c r="D148" s="19"/>
      <c r="E148" s="17">
        <f t="shared" ref="E148:E155" si="9">IFERROR(C148*D148,0)</f>
        <v>0</v>
      </c>
      <c r="F148" s="15" t="s">
        <v>26</v>
      </c>
      <c r="G148" s="24"/>
    </row>
    <row r="149" ht="14.25" customHeight="1">
      <c r="A149" s="25"/>
      <c r="B149" s="26"/>
      <c r="C149" s="28"/>
      <c r="D149" s="30"/>
      <c r="E149" s="28">
        <f t="shared" si="9"/>
        <v>0</v>
      </c>
      <c r="F149" s="26"/>
      <c r="G149" s="32"/>
    </row>
    <row r="150" ht="14.25" customHeight="1">
      <c r="A150" s="25"/>
      <c r="B150" s="26"/>
      <c r="C150" s="28"/>
      <c r="D150" s="30"/>
      <c r="E150" s="28">
        <f t="shared" si="9"/>
        <v>0</v>
      </c>
      <c r="F150" s="26"/>
      <c r="G150" s="32"/>
    </row>
    <row r="151" ht="14.25" customHeight="1">
      <c r="A151" s="25"/>
      <c r="B151" s="26"/>
      <c r="C151" s="28"/>
      <c r="D151" s="30"/>
      <c r="E151" s="28">
        <f t="shared" si="9"/>
        <v>0</v>
      </c>
      <c r="F151" s="26"/>
      <c r="G151" s="32"/>
    </row>
    <row r="152" ht="14.25" customHeight="1">
      <c r="A152" s="25"/>
      <c r="B152" s="26"/>
      <c r="C152" s="28"/>
      <c r="D152" s="30"/>
      <c r="E152" s="28">
        <f t="shared" si="9"/>
        <v>0</v>
      </c>
      <c r="F152" s="26"/>
      <c r="G152" s="32"/>
    </row>
    <row r="153" ht="14.25" customHeight="1">
      <c r="A153" s="25"/>
      <c r="B153" s="26"/>
      <c r="C153" s="28"/>
      <c r="D153" s="30"/>
      <c r="E153" s="28">
        <f t="shared" si="9"/>
        <v>0</v>
      </c>
      <c r="F153" s="26"/>
      <c r="G153" s="32"/>
    </row>
    <row r="154" ht="14.25" customHeight="1">
      <c r="A154" s="25"/>
      <c r="B154" s="26"/>
      <c r="C154" s="28"/>
      <c r="D154" s="30"/>
      <c r="E154" s="28">
        <f t="shared" si="9"/>
        <v>0</v>
      </c>
      <c r="F154" s="26"/>
      <c r="G154" s="32"/>
    </row>
    <row r="155" ht="14.25" customHeight="1">
      <c r="A155" s="36"/>
      <c r="B155" s="37"/>
      <c r="C155" s="38"/>
      <c r="D155" s="39"/>
      <c r="E155" s="38">
        <f t="shared" si="9"/>
        <v>0</v>
      </c>
      <c r="F155" s="37"/>
      <c r="G155" s="41"/>
    </row>
    <row r="156" ht="14.25" customHeight="1">
      <c r="A156" s="42" t="s">
        <v>62</v>
      </c>
      <c r="B156" s="43"/>
      <c r="C156" s="43"/>
      <c r="D156" s="45"/>
      <c r="E156" s="43">
        <v>0.0</v>
      </c>
      <c r="F156" s="43"/>
      <c r="G156" s="46"/>
    </row>
    <row r="157" ht="14.25" customHeight="1">
      <c r="A157" s="47" t="s">
        <v>64</v>
      </c>
      <c r="B157" s="48"/>
      <c r="C157" s="48"/>
      <c r="D157" s="49"/>
      <c r="E157" s="51">
        <f>SUM(E148:E156)</f>
        <v>0</v>
      </c>
      <c r="F157" s="48" t="s">
        <v>74</v>
      </c>
      <c r="G157" s="52"/>
    </row>
    <row r="158" ht="14.25" customHeight="1">
      <c r="A158" s="47" t="s">
        <v>67</v>
      </c>
      <c r="B158" s="48"/>
      <c r="C158" s="48"/>
      <c r="D158" s="49"/>
      <c r="E158" s="51">
        <f>E157*15%</f>
        <v>0</v>
      </c>
      <c r="F158" s="48" t="s">
        <v>76</v>
      </c>
      <c r="G158" s="52"/>
    </row>
    <row r="159" ht="14.25" customHeight="1">
      <c r="A159" s="47" t="s">
        <v>70</v>
      </c>
      <c r="B159" s="48"/>
      <c r="C159" s="48"/>
      <c r="D159" s="49"/>
      <c r="E159" s="51">
        <f>E157+E158</f>
        <v>0</v>
      </c>
      <c r="F159" s="48"/>
      <c r="G159" s="52"/>
    </row>
    <row r="160" ht="14.25" customHeight="1">
      <c r="A160" s="47" t="s">
        <v>71</v>
      </c>
      <c r="B160" s="48"/>
      <c r="C160" s="48"/>
      <c r="D160" s="49"/>
      <c r="E160" s="51">
        <f>IF(E162&gt;0,E162-E159,0)</f>
        <v>0</v>
      </c>
      <c r="F160" s="48"/>
      <c r="G160" s="52"/>
    </row>
    <row r="161" ht="14.25" customHeight="1">
      <c r="A161" s="53" t="s">
        <v>73</v>
      </c>
      <c r="B161" s="48"/>
      <c r="C161" s="48"/>
      <c r="D161" s="49"/>
      <c r="E161" s="56">
        <f>IFERROR(E159/E162,0)</f>
        <v>0</v>
      </c>
      <c r="F161" s="48"/>
      <c r="G161" s="52"/>
    </row>
    <row r="162" ht="14.25" customHeight="1">
      <c r="A162" s="47" t="s">
        <v>11</v>
      </c>
      <c r="B162" s="48"/>
      <c r="C162" s="48"/>
      <c r="D162" s="49"/>
      <c r="E162" s="78"/>
      <c r="F162" s="48"/>
      <c r="G162" s="52"/>
    </row>
    <row r="163" ht="14.25" customHeight="1">
      <c r="D163" s="60"/>
    </row>
    <row r="164">
      <c r="A164" s="4" t="s">
        <v>149</v>
      </c>
    </row>
    <row r="165" ht="14.25" customHeight="1">
      <c r="A165" s="6" t="s">
        <v>8</v>
      </c>
      <c r="B165" s="8" t="s">
        <v>10</v>
      </c>
      <c r="C165" s="8" t="s">
        <v>12</v>
      </c>
      <c r="D165" s="10" t="s">
        <v>13</v>
      </c>
      <c r="E165" s="8" t="s">
        <v>16</v>
      </c>
      <c r="F165" s="8" t="s">
        <v>17</v>
      </c>
      <c r="G165" s="13" t="s">
        <v>18</v>
      </c>
    </row>
    <row r="166" ht="14.25" customHeight="1">
      <c r="A166" s="14"/>
      <c r="B166" s="15"/>
      <c r="C166" s="17"/>
      <c r="D166" s="19"/>
      <c r="E166" s="17">
        <f t="shared" ref="E166:E173" si="10">IFERROR(C166*D166,0)</f>
        <v>0</v>
      </c>
      <c r="F166" s="15" t="s">
        <v>26</v>
      </c>
      <c r="G166" s="24"/>
    </row>
    <row r="167" ht="14.25" customHeight="1">
      <c r="A167" s="25"/>
      <c r="B167" s="26"/>
      <c r="C167" s="28"/>
      <c r="D167" s="30"/>
      <c r="E167" s="28">
        <f t="shared" si="10"/>
        <v>0</v>
      </c>
      <c r="F167" s="26"/>
      <c r="G167" s="32"/>
    </row>
    <row r="168" ht="14.25" customHeight="1">
      <c r="A168" s="25"/>
      <c r="B168" s="26"/>
      <c r="C168" s="28"/>
      <c r="D168" s="30"/>
      <c r="E168" s="28">
        <f t="shared" si="10"/>
        <v>0</v>
      </c>
      <c r="F168" s="26"/>
      <c r="G168" s="32"/>
    </row>
    <row r="169" ht="14.25" customHeight="1">
      <c r="A169" s="25"/>
      <c r="B169" s="26"/>
      <c r="C169" s="28"/>
      <c r="D169" s="30"/>
      <c r="E169" s="28">
        <f t="shared" si="10"/>
        <v>0</v>
      </c>
      <c r="F169" s="26"/>
      <c r="G169" s="32"/>
    </row>
    <row r="170" ht="14.25" customHeight="1">
      <c r="A170" s="25"/>
      <c r="B170" s="26"/>
      <c r="C170" s="28"/>
      <c r="D170" s="30"/>
      <c r="E170" s="28">
        <f t="shared" si="10"/>
        <v>0</v>
      </c>
      <c r="F170" s="26"/>
      <c r="G170" s="32"/>
    </row>
    <row r="171" ht="14.25" customHeight="1">
      <c r="A171" s="25"/>
      <c r="B171" s="26"/>
      <c r="C171" s="28"/>
      <c r="D171" s="30"/>
      <c r="E171" s="28">
        <f t="shared" si="10"/>
        <v>0</v>
      </c>
      <c r="F171" s="26"/>
      <c r="G171" s="32"/>
    </row>
    <row r="172" ht="14.25" customHeight="1">
      <c r="A172" s="25"/>
      <c r="B172" s="26"/>
      <c r="C172" s="28"/>
      <c r="D172" s="30"/>
      <c r="E172" s="28">
        <f t="shared" si="10"/>
        <v>0</v>
      </c>
      <c r="F172" s="26"/>
      <c r="G172" s="32"/>
    </row>
    <row r="173" ht="14.25" customHeight="1">
      <c r="A173" s="36"/>
      <c r="B173" s="37"/>
      <c r="C173" s="38"/>
      <c r="D173" s="39"/>
      <c r="E173" s="38">
        <f t="shared" si="10"/>
        <v>0</v>
      </c>
      <c r="F173" s="37"/>
      <c r="G173" s="41"/>
    </row>
    <row r="174" ht="14.25" customHeight="1">
      <c r="A174" s="42" t="s">
        <v>62</v>
      </c>
      <c r="B174" s="43"/>
      <c r="C174" s="43"/>
      <c r="D174" s="45"/>
      <c r="E174" s="43">
        <v>0.0</v>
      </c>
      <c r="F174" s="43"/>
      <c r="G174" s="46"/>
    </row>
    <row r="175" ht="14.25" customHeight="1">
      <c r="A175" s="47" t="s">
        <v>64</v>
      </c>
      <c r="B175" s="48"/>
      <c r="C175" s="48"/>
      <c r="D175" s="49"/>
      <c r="E175" s="51">
        <f>SUM(E166:E174)</f>
        <v>0</v>
      </c>
      <c r="F175" s="48" t="s">
        <v>74</v>
      </c>
      <c r="G175" s="52"/>
    </row>
    <row r="176" ht="14.25" customHeight="1">
      <c r="A176" s="47" t="s">
        <v>67</v>
      </c>
      <c r="B176" s="48"/>
      <c r="C176" s="48"/>
      <c r="D176" s="49"/>
      <c r="E176" s="51">
        <f>E175*15%</f>
        <v>0</v>
      </c>
      <c r="F176" s="48" t="s">
        <v>76</v>
      </c>
      <c r="G176" s="52"/>
    </row>
    <row r="177" ht="14.25" customHeight="1">
      <c r="A177" s="47" t="s">
        <v>70</v>
      </c>
      <c r="B177" s="48"/>
      <c r="C177" s="48"/>
      <c r="D177" s="49"/>
      <c r="E177" s="51">
        <f>E175+E176</f>
        <v>0</v>
      </c>
      <c r="F177" s="48"/>
      <c r="G177" s="52"/>
    </row>
    <row r="178" ht="14.25" customHeight="1">
      <c r="A178" s="47" t="s">
        <v>71</v>
      </c>
      <c r="B178" s="48"/>
      <c r="C178" s="48"/>
      <c r="D178" s="49"/>
      <c r="E178" s="51">
        <f>IF(E180&gt;0,E180-E177,0)</f>
        <v>0</v>
      </c>
      <c r="F178" s="48"/>
      <c r="G178" s="52"/>
    </row>
    <row r="179" ht="14.25" customHeight="1">
      <c r="A179" s="53" t="s">
        <v>73</v>
      </c>
      <c r="B179" s="48"/>
      <c r="C179" s="48"/>
      <c r="D179" s="49"/>
      <c r="E179" s="56">
        <f>IFERROR(E177/E180,0)</f>
        <v>0</v>
      </c>
      <c r="F179" s="48"/>
      <c r="G179" s="52"/>
    </row>
    <row r="180" ht="14.25" customHeight="1">
      <c r="A180" s="47" t="s">
        <v>11</v>
      </c>
      <c r="B180" s="48"/>
      <c r="C180" s="48"/>
      <c r="D180" s="49"/>
      <c r="E180" s="78"/>
      <c r="F180" s="48"/>
      <c r="G180" s="52"/>
    </row>
    <row r="181" ht="14.25" customHeight="1">
      <c r="D181" s="60"/>
    </row>
    <row r="182">
      <c r="A182" s="4" t="s">
        <v>152</v>
      </c>
    </row>
    <row r="183" ht="14.25" customHeight="1">
      <c r="A183" s="6" t="s">
        <v>8</v>
      </c>
      <c r="B183" s="8" t="s">
        <v>10</v>
      </c>
      <c r="C183" s="8" t="s">
        <v>12</v>
      </c>
      <c r="D183" s="10" t="s">
        <v>13</v>
      </c>
      <c r="E183" s="8" t="s">
        <v>16</v>
      </c>
      <c r="F183" s="8" t="s">
        <v>17</v>
      </c>
      <c r="G183" s="13" t="s">
        <v>18</v>
      </c>
    </row>
    <row r="184" ht="14.25" customHeight="1">
      <c r="A184" s="14"/>
      <c r="B184" s="15"/>
      <c r="C184" s="17"/>
      <c r="D184" s="19"/>
      <c r="E184" s="17">
        <f t="shared" ref="E184:E191" si="11">IFERROR(C184*D184,0)</f>
        <v>0</v>
      </c>
      <c r="F184" s="15" t="s">
        <v>26</v>
      </c>
      <c r="G184" s="24"/>
    </row>
    <row r="185" ht="14.25" customHeight="1">
      <c r="A185" s="25"/>
      <c r="B185" s="26"/>
      <c r="C185" s="28"/>
      <c r="D185" s="30"/>
      <c r="E185" s="28">
        <f t="shared" si="11"/>
        <v>0</v>
      </c>
      <c r="F185" s="26"/>
      <c r="G185" s="32"/>
    </row>
    <row r="186" ht="14.25" customHeight="1">
      <c r="A186" s="25"/>
      <c r="B186" s="26"/>
      <c r="C186" s="28"/>
      <c r="D186" s="30"/>
      <c r="E186" s="28">
        <f t="shared" si="11"/>
        <v>0</v>
      </c>
      <c r="F186" s="26"/>
      <c r="G186" s="32"/>
    </row>
    <row r="187" ht="14.25" customHeight="1">
      <c r="A187" s="25"/>
      <c r="B187" s="26"/>
      <c r="C187" s="28"/>
      <c r="D187" s="30"/>
      <c r="E187" s="28">
        <f t="shared" si="11"/>
        <v>0</v>
      </c>
      <c r="F187" s="26"/>
      <c r="G187" s="32"/>
    </row>
    <row r="188" ht="14.25" customHeight="1">
      <c r="A188" s="25"/>
      <c r="B188" s="26"/>
      <c r="C188" s="28"/>
      <c r="D188" s="30"/>
      <c r="E188" s="28">
        <f t="shared" si="11"/>
        <v>0</v>
      </c>
      <c r="F188" s="26"/>
      <c r="G188" s="32"/>
    </row>
    <row r="189" ht="14.25" customHeight="1">
      <c r="A189" s="25"/>
      <c r="B189" s="26"/>
      <c r="C189" s="28"/>
      <c r="D189" s="30"/>
      <c r="E189" s="28">
        <f t="shared" si="11"/>
        <v>0</v>
      </c>
      <c r="F189" s="26"/>
      <c r="G189" s="32"/>
    </row>
    <row r="190" ht="14.25" customHeight="1">
      <c r="A190" s="25"/>
      <c r="B190" s="26"/>
      <c r="C190" s="28"/>
      <c r="D190" s="30"/>
      <c r="E190" s="28">
        <f t="shared" si="11"/>
        <v>0</v>
      </c>
      <c r="F190" s="26"/>
      <c r="G190" s="32"/>
    </row>
    <row r="191" ht="14.25" customHeight="1">
      <c r="A191" s="36"/>
      <c r="B191" s="37"/>
      <c r="C191" s="38"/>
      <c r="D191" s="39"/>
      <c r="E191" s="38">
        <f t="shared" si="11"/>
        <v>0</v>
      </c>
      <c r="F191" s="37"/>
      <c r="G191" s="41"/>
    </row>
    <row r="192" ht="14.25" customHeight="1">
      <c r="A192" s="42" t="s">
        <v>62</v>
      </c>
      <c r="B192" s="43"/>
      <c r="C192" s="43"/>
      <c r="D192" s="45"/>
      <c r="E192" s="43">
        <v>0.0</v>
      </c>
      <c r="F192" s="43"/>
      <c r="G192" s="46"/>
    </row>
    <row r="193" ht="14.25" customHeight="1">
      <c r="A193" s="47" t="s">
        <v>64</v>
      </c>
      <c r="B193" s="48"/>
      <c r="C193" s="48"/>
      <c r="D193" s="49"/>
      <c r="E193" s="51">
        <f>SUM(E184:E192)</f>
        <v>0</v>
      </c>
      <c r="F193" s="48" t="s">
        <v>74</v>
      </c>
      <c r="G193" s="52"/>
    </row>
    <row r="194" ht="14.25" customHeight="1">
      <c r="A194" s="47" t="s">
        <v>67</v>
      </c>
      <c r="B194" s="48"/>
      <c r="C194" s="48"/>
      <c r="D194" s="49"/>
      <c r="E194" s="51">
        <f>E193*15%</f>
        <v>0</v>
      </c>
      <c r="F194" s="48" t="s">
        <v>76</v>
      </c>
      <c r="G194" s="52"/>
    </row>
    <row r="195" ht="14.25" customHeight="1">
      <c r="A195" s="47" t="s">
        <v>70</v>
      </c>
      <c r="B195" s="48"/>
      <c r="C195" s="48"/>
      <c r="D195" s="49"/>
      <c r="E195" s="51">
        <f>E193+E194</f>
        <v>0</v>
      </c>
      <c r="F195" s="48"/>
      <c r="G195" s="52"/>
    </row>
    <row r="196" ht="14.25" customHeight="1">
      <c r="A196" s="47" t="s">
        <v>71</v>
      </c>
      <c r="B196" s="48"/>
      <c r="C196" s="48"/>
      <c r="D196" s="49"/>
      <c r="E196" s="51">
        <f>IF(E198&gt;0,E198-E195,0)</f>
        <v>0</v>
      </c>
      <c r="F196" s="48"/>
      <c r="G196" s="52"/>
    </row>
    <row r="197" ht="14.25" customHeight="1">
      <c r="A197" s="53" t="s">
        <v>73</v>
      </c>
      <c r="B197" s="48"/>
      <c r="C197" s="48"/>
      <c r="D197" s="49"/>
      <c r="E197" s="56">
        <f>IFERROR(E195/E198,0)</f>
        <v>0</v>
      </c>
      <c r="F197" s="48"/>
      <c r="G197" s="52"/>
    </row>
    <row r="198" ht="14.25" customHeight="1">
      <c r="A198" s="47" t="s">
        <v>11</v>
      </c>
      <c r="B198" s="48"/>
      <c r="C198" s="48"/>
      <c r="D198" s="49"/>
      <c r="E198" s="78"/>
      <c r="F198" s="48"/>
      <c r="G198" s="52"/>
    </row>
    <row r="199" ht="14.25" customHeight="1">
      <c r="D199" s="60"/>
    </row>
    <row r="200">
      <c r="A200" s="4" t="s">
        <v>154</v>
      </c>
    </row>
    <row r="201" ht="14.25" customHeight="1">
      <c r="A201" s="6" t="s">
        <v>8</v>
      </c>
      <c r="B201" s="8" t="s">
        <v>10</v>
      </c>
      <c r="C201" s="8" t="s">
        <v>12</v>
      </c>
      <c r="D201" s="10" t="s">
        <v>13</v>
      </c>
      <c r="E201" s="8" t="s">
        <v>16</v>
      </c>
      <c r="F201" s="8" t="s">
        <v>17</v>
      </c>
      <c r="G201" s="13" t="s">
        <v>18</v>
      </c>
    </row>
    <row r="202" ht="14.25" customHeight="1">
      <c r="A202" s="14" t="s">
        <v>211</v>
      </c>
      <c r="B202" s="15" t="s">
        <v>24</v>
      </c>
      <c r="C202" s="17">
        <f>'WIP FOOD'!$B$421</f>
        <v>811.3636364</v>
      </c>
      <c r="D202" s="19">
        <v>180.0</v>
      </c>
      <c r="E202" s="17">
        <f t="shared" ref="E202:E209" si="12">IFERROR(C202*D202,0)</f>
        <v>146045.4545</v>
      </c>
      <c r="F202" s="15" t="s">
        <v>26</v>
      </c>
      <c r="G202" s="24"/>
    </row>
    <row r="203" ht="14.25" customHeight="1">
      <c r="A203" s="25" t="s">
        <v>287</v>
      </c>
      <c r="B203" s="26" t="s">
        <v>24</v>
      </c>
      <c r="C203" s="28">
        <f>IFERROR(VLOOKUP(A203,'Market List'!$B:$F,5,FALSE),0)</f>
        <v>0</v>
      </c>
      <c r="D203" s="30">
        <v>96.0</v>
      </c>
      <c r="E203" s="28">
        <f t="shared" si="12"/>
        <v>0</v>
      </c>
      <c r="F203" s="26"/>
      <c r="G203" s="32"/>
    </row>
    <row r="204" ht="14.25" customHeight="1">
      <c r="A204" s="25" t="s">
        <v>244</v>
      </c>
      <c r="B204" s="26" t="s">
        <v>24</v>
      </c>
      <c r="C204" s="28">
        <f>IFERROR(VLOOKUP(A204,'Market List'!$B:$F,5,FALSE),0)</f>
        <v>0</v>
      </c>
      <c r="D204" s="30">
        <v>24.0</v>
      </c>
      <c r="E204" s="28">
        <f t="shared" si="12"/>
        <v>0</v>
      </c>
      <c r="F204" s="26"/>
      <c r="G204" s="32"/>
    </row>
    <row r="205" ht="14.25" customHeight="1">
      <c r="A205" s="25" t="s">
        <v>232</v>
      </c>
      <c r="B205" s="26" t="s">
        <v>24</v>
      </c>
      <c r="C205" s="28">
        <f>IFERROR(VLOOKUP(A205,'Market List'!$B:$F,5,FALSE),0)</f>
        <v>17.5</v>
      </c>
      <c r="D205" s="30">
        <v>12.0</v>
      </c>
      <c r="E205" s="28">
        <f t="shared" si="12"/>
        <v>210</v>
      </c>
      <c r="F205" s="26"/>
      <c r="G205" s="32"/>
    </row>
    <row r="206" ht="14.25" customHeight="1">
      <c r="A206" s="25" t="s">
        <v>290</v>
      </c>
      <c r="B206" s="26" t="s">
        <v>24</v>
      </c>
      <c r="C206" s="28">
        <f>IFERROR(VLOOKUP(A206,'Market List'!$B:$F,5,FALSE),0)</f>
        <v>0</v>
      </c>
      <c r="D206" s="30">
        <v>20.0</v>
      </c>
      <c r="E206" s="28">
        <f t="shared" si="12"/>
        <v>0</v>
      </c>
      <c r="F206" s="26"/>
      <c r="G206" s="32"/>
    </row>
    <row r="207" ht="14.25" customHeight="1">
      <c r="A207" s="25"/>
      <c r="B207" s="26"/>
      <c r="C207" s="28"/>
      <c r="D207" s="30"/>
      <c r="E207" s="28">
        <f t="shared" si="12"/>
        <v>0</v>
      </c>
      <c r="F207" s="26"/>
      <c r="G207" s="32"/>
    </row>
    <row r="208" ht="14.25" customHeight="1">
      <c r="A208" s="25"/>
      <c r="B208" s="26"/>
      <c r="C208" s="28"/>
      <c r="D208" s="30"/>
      <c r="E208" s="28">
        <f t="shared" si="12"/>
        <v>0</v>
      </c>
      <c r="F208" s="26"/>
      <c r="G208" s="32"/>
    </row>
    <row r="209" ht="14.25" customHeight="1">
      <c r="A209" s="36"/>
      <c r="B209" s="37"/>
      <c r="C209" s="38"/>
      <c r="D209" s="39"/>
      <c r="E209" s="38">
        <f t="shared" si="12"/>
        <v>0</v>
      </c>
      <c r="F209" s="37"/>
      <c r="G209" s="41"/>
    </row>
    <row r="210" ht="14.25" customHeight="1">
      <c r="A210" s="42" t="s">
        <v>62</v>
      </c>
      <c r="B210" s="43"/>
      <c r="C210" s="43"/>
      <c r="D210" s="45"/>
      <c r="E210" s="43">
        <v>0.0</v>
      </c>
      <c r="F210" s="43"/>
      <c r="G210" s="46"/>
    </row>
    <row r="211" ht="14.25" customHeight="1">
      <c r="A211" s="47" t="s">
        <v>64</v>
      </c>
      <c r="B211" s="48"/>
      <c r="C211" s="48"/>
      <c r="D211" s="49"/>
      <c r="E211" s="51">
        <f>SUM(E202:E210)</f>
        <v>146255.4545</v>
      </c>
      <c r="F211" s="48" t="s">
        <v>74</v>
      </c>
      <c r="G211" s="52"/>
    </row>
    <row r="212" ht="14.25" customHeight="1">
      <c r="A212" s="47" t="s">
        <v>67</v>
      </c>
      <c r="B212" s="48"/>
      <c r="C212" s="48"/>
      <c r="D212" s="49"/>
      <c r="E212" s="51">
        <f>E211*15%</f>
        <v>21938.31818</v>
      </c>
      <c r="F212" s="48" t="s">
        <v>76</v>
      </c>
      <c r="G212" s="52"/>
    </row>
    <row r="213" ht="14.25" customHeight="1">
      <c r="A213" s="47" t="s">
        <v>70</v>
      </c>
      <c r="B213" s="48"/>
      <c r="C213" s="48"/>
      <c r="D213" s="49"/>
      <c r="E213" s="51">
        <f>E211+E212</f>
        <v>168193.7727</v>
      </c>
      <c r="F213" s="48"/>
      <c r="G213" s="52"/>
    </row>
    <row r="214" ht="14.25" customHeight="1">
      <c r="A214" s="47" t="s">
        <v>71</v>
      </c>
      <c r="B214" s="48"/>
      <c r="C214" s="48"/>
      <c r="D214" s="49"/>
      <c r="E214" s="51">
        <f>IF(E216&gt;0,E216-E213,0)</f>
        <v>0</v>
      </c>
      <c r="F214" s="48"/>
      <c r="G214" s="52"/>
    </row>
    <row r="215" ht="14.25" customHeight="1">
      <c r="A215" s="53" t="s">
        <v>73</v>
      </c>
      <c r="B215" s="48"/>
      <c r="C215" s="48"/>
      <c r="D215" s="49"/>
      <c r="E215" s="56">
        <f>IFERROR(E213/E216,0)</f>
        <v>0</v>
      </c>
      <c r="F215" s="48"/>
      <c r="G215" s="52"/>
    </row>
    <row r="216" ht="14.25" customHeight="1">
      <c r="A216" s="47" t="s">
        <v>11</v>
      </c>
      <c r="B216" s="48"/>
      <c r="C216" s="48"/>
      <c r="D216" s="49"/>
      <c r="E216" s="78"/>
      <c r="F216" s="48"/>
      <c r="G216" s="52"/>
    </row>
    <row r="217" ht="14.25" customHeight="1">
      <c r="D217" s="60"/>
    </row>
    <row r="218">
      <c r="A218" s="4" t="s">
        <v>156</v>
      </c>
    </row>
    <row r="219" ht="14.25" customHeight="1">
      <c r="A219" s="6" t="s">
        <v>8</v>
      </c>
      <c r="B219" s="8" t="s">
        <v>10</v>
      </c>
      <c r="C219" s="8" t="s">
        <v>12</v>
      </c>
      <c r="D219" s="10" t="s">
        <v>13</v>
      </c>
      <c r="E219" s="8" t="s">
        <v>16</v>
      </c>
      <c r="F219" s="8" t="s">
        <v>17</v>
      </c>
      <c r="G219" s="13" t="s">
        <v>18</v>
      </c>
    </row>
    <row r="220" ht="14.25" customHeight="1">
      <c r="A220" s="14" t="s">
        <v>197</v>
      </c>
      <c r="B220" s="15" t="s">
        <v>198</v>
      </c>
      <c r="C220" s="17">
        <f>IFERROR(VLOOKUP(A220,'Market List'!$B:$F,5,FALSE),0)</f>
        <v>2741.666667</v>
      </c>
      <c r="D220" s="19">
        <v>15.0</v>
      </c>
      <c r="E220" s="17">
        <f t="shared" ref="E220:E227" si="13">IFERROR(C220*D220,0)</f>
        <v>41125</v>
      </c>
      <c r="F220" s="15" t="s">
        <v>26</v>
      </c>
      <c r="G220" s="24"/>
    </row>
    <row r="221" ht="14.25" customHeight="1">
      <c r="A221" s="25" t="s">
        <v>211</v>
      </c>
      <c r="B221" s="26" t="s">
        <v>24</v>
      </c>
      <c r="C221" s="28">
        <f>'WIP FOOD'!$B$421</f>
        <v>811.3636364</v>
      </c>
      <c r="D221" s="30">
        <v>130.0</v>
      </c>
      <c r="E221" s="28">
        <f t="shared" si="13"/>
        <v>105477.2727</v>
      </c>
      <c r="F221" s="26"/>
      <c r="G221" s="32"/>
    </row>
    <row r="222" ht="14.25" customHeight="1">
      <c r="A222" s="25" t="s">
        <v>301</v>
      </c>
      <c r="B222" s="26" t="s">
        <v>24</v>
      </c>
      <c r="C222" s="28">
        <f>IFERROR(VLOOKUP(A222,'Market List'!$B:$F,5,FALSE),0)</f>
        <v>0</v>
      </c>
      <c r="D222" s="30">
        <v>10.0</v>
      </c>
      <c r="E222" s="28">
        <f t="shared" si="13"/>
        <v>0</v>
      </c>
      <c r="F222" s="26"/>
      <c r="G222" s="32"/>
    </row>
    <row r="223" ht="14.25" customHeight="1">
      <c r="A223" s="25" t="s">
        <v>232</v>
      </c>
      <c r="B223" s="26" t="s">
        <v>24</v>
      </c>
      <c r="C223" s="28">
        <f>IFERROR(VLOOKUP(A223,'Market List'!$B:$F,5,FALSE),0)</f>
        <v>17.5</v>
      </c>
      <c r="D223" s="30">
        <v>12.0</v>
      </c>
      <c r="E223" s="28">
        <f t="shared" si="13"/>
        <v>210</v>
      </c>
      <c r="F223" s="26"/>
      <c r="G223" s="32"/>
    </row>
    <row r="224" ht="14.25" customHeight="1">
      <c r="A224" s="25"/>
      <c r="B224" s="26"/>
      <c r="C224" s="28"/>
      <c r="D224" s="30"/>
      <c r="E224" s="28">
        <f t="shared" si="13"/>
        <v>0</v>
      </c>
      <c r="F224" s="26"/>
      <c r="G224" s="32"/>
    </row>
    <row r="225" ht="14.25" customHeight="1">
      <c r="A225" s="25"/>
      <c r="B225" s="26"/>
      <c r="C225" s="28"/>
      <c r="D225" s="30"/>
      <c r="E225" s="28">
        <f t="shared" si="13"/>
        <v>0</v>
      </c>
      <c r="F225" s="26"/>
      <c r="G225" s="32"/>
    </row>
    <row r="226" ht="14.25" customHeight="1">
      <c r="A226" s="25"/>
      <c r="B226" s="26"/>
      <c r="C226" s="28"/>
      <c r="D226" s="30"/>
      <c r="E226" s="28">
        <f t="shared" si="13"/>
        <v>0</v>
      </c>
      <c r="F226" s="26"/>
      <c r="G226" s="32"/>
    </row>
    <row r="227" ht="14.25" customHeight="1">
      <c r="A227" s="36"/>
      <c r="B227" s="37"/>
      <c r="C227" s="38"/>
      <c r="D227" s="39"/>
      <c r="E227" s="38">
        <f t="shared" si="13"/>
        <v>0</v>
      </c>
      <c r="F227" s="37"/>
      <c r="G227" s="41"/>
    </row>
    <row r="228" ht="14.25" customHeight="1">
      <c r="A228" s="42" t="s">
        <v>62</v>
      </c>
      <c r="B228" s="43"/>
      <c r="C228" s="43"/>
      <c r="D228" s="45"/>
      <c r="E228" s="43">
        <v>0.0</v>
      </c>
      <c r="F228" s="43"/>
      <c r="G228" s="46"/>
    </row>
    <row r="229" ht="14.25" customHeight="1">
      <c r="A229" s="47" t="s">
        <v>64</v>
      </c>
      <c r="B229" s="48"/>
      <c r="C229" s="48"/>
      <c r="D229" s="49"/>
      <c r="E229" s="51">
        <f>SUM(E220:E228)</f>
        <v>146812.2727</v>
      </c>
      <c r="F229" s="48" t="s">
        <v>74</v>
      </c>
      <c r="G229" s="52"/>
    </row>
    <row r="230" ht="14.25" customHeight="1">
      <c r="A230" s="47" t="s">
        <v>67</v>
      </c>
      <c r="B230" s="48"/>
      <c r="C230" s="48"/>
      <c r="D230" s="49"/>
      <c r="E230" s="51">
        <f>E229*15%</f>
        <v>22021.84091</v>
      </c>
      <c r="F230" s="48" t="s">
        <v>76</v>
      </c>
      <c r="G230" s="52"/>
    </row>
    <row r="231" ht="14.25" customHeight="1">
      <c r="A231" s="47" t="s">
        <v>70</v>
      </c>
      <c r="B231" s="48"/>
      <c r="C231" s="48"/>
      <c r="D231" s="49"/>
      <c r="E231" s="51">
        <f>E229+E230</f>
        <v>168834.1136</v>
      </c>
      <c r="F231" s="48"/>
      <c r="G231" s="52"/>
    </row>
    <row r="232" ht="14.25" customHeight="1">
      <c r="A232" s="47" t="s">
        <v>71</v>
      </c>
      <c r="B232" s="48"/>
      <c r="C232" s="48"/>
      <c r="D232" s="49"/>
      <c r="E232" s="51">
        <f>IF(E234&gt;0,E234-E231,0)</f>
        <v>0</v>
      </c>
      <c r="F232" s="48"/>
      <c r="G232" s="52"/>
    </row>
    <row r="233" ht="14.25" customHeight="1">
      <c r="A233" s="53" t="s">
        <v>73</v>
      </c>
      <c r="B233" s="48"/>
      <c r="C233" s="48"/>
      <c r="D233" s="49"/>
      <c r="E233" s="56">
        <f>IFERROR(E231/E234,0)</f>
        <v>0</v>
      </c>
      <c r="F233" s="48"/>
      <c r="G233" s="52"/>
    </row>
    <row r="234" ht="14.25" customHeight="1">
      <c r="A234" s="47" t="s">
        <v>11</v>
      </c>
      <c r="B234" s="48"/>
      <c r="C234" s="48"/>
      <c r="D234" s="49"/>
      <c r="E234" s="78"/>
      <c r="F234" s="48"/>
      <c r="G234" s="52"/>
    </row>
    <row r="235" ht="14.25" customHeight="1">
      <c r="D235" s="60"/>
    </row>
    <row r="236">
      <c r="A236" s="4" t="s">
        <v>158</v>
      </c>
    </row>
    <row r="237" ht="14.25" customHeight="1">
      <c r="A237" s="6" t="s">
        <v>8</v>
      </c>
      <c r="B237" s="8" t="s">
        <v>10</v>
      </c>
      <c r="C237" s="8" t="s">
        <v>12</v>
      </c>
      <c r="D237" s="10" t="s">
        <v>13</v>
      </c>
      <c r="E237" s="8" t="s">
        <v>16</v>
      </c>
      <c r="F237" s="8" t="s">
        <v>17</v>
      </c>
      <c r="G237" s="13" t="s">
        <v>18</v>
      </c>
    </row>
    <row r="238" ht="14.25" customHeight="1">
      <c r="A238" s="14" t="s">
        <v>211</v>
      </c>
      <c r="B238" s="15" t="s">
        <v>24</v>
      </c>
      <c r="C238" s="17">
        <f>'WIP FOOD'!$B$421</f>
        <v>811.3636364</v>
      </c>
      <c r="D238" s="19">
        <v>180.0</v>
      </c>
      <c r="E238" s="17">
        <f t="shared" ref="E238:E245" si="14">IFERROR(C238*D238,0)</f>
        <v>146045.4545</v>
      </c>
      <c r="F238" s="15" t="s">
        <v>26</v>
      </c>
      <c r="G238" s="24"/>
    </row>
    <row r="239" ht="14.25" customHeight="1">
      <c r="A239" s="25" t="s">
        <v>311</v>
      </c>
      <c r="B239" s="26" t="s">
        <v>24</v>
      </c>
      <c r="C239" s="28">
        <f>IFERROR(VLOOKUP(A239,'Market List'!$B:$F,5,FALSE),0)</f>
        <v>0</v>
      </c>
      <c r="D239" s="30">
        <v>15.0</v>
      </c>
      <c r="E239" s="28">
        <f t="shared" si="14"/>
        <v>0</v>
      </c>
      <c r="F239" s="26"/>
      <c r="G239" s="32"/>
    </row>
    <row r="240" ht="14.25" customHeight="1">
      <c r="A240" s="25" t="s">
        <v>312</v>
      </c>
      <c r="B240" s="26" t="s">
        <v>24</v>
      </c>
      <c r="C240" s="28">
        <f>IFERROR(VLOOKUP(A240,'Market List'!$B:$F,5,FALSE),0)</f>
        <v>0</v>
      </c>
      <c r="D240" s="30">
        <v>13.0</v>
      </c>
      <c r="E240" s="28">
        <f t="shared" si="14"/>
        <v>0</v>
      </c>
      <c r="F240" s="26"/>
      <c r="G240" s="32"/>
    </row>
    <row r="241" ht="14.25" customHeight="1">
      <c r="A241" s="25" t="s">
        <v>232</v>
      </c>
      <c r="B241" s="26" t="s">
        <v>24</v>
      </c>
      <c r="C241" s="28">
        <f>IFERROR(VLOOKUP(A241,'Market List'!$B:$F,5,FALSE),0)</f>
        <v>17.5</v>
      </c>
      <c r="D241" s="30">
        <v>12.0</v>
      </c>
      <c r="E241" s="28">
        <f t="shared" si="14"/>
        <v>210</v>
      </c>
      <c r="F241" s="26"/>
      <c r="G241" s="32"/>
    </row>
    <row r="242" ht="14.25" customHeight="1">
      <c r="A242" s="25" t="s">
        <v>314</v>
      </c>
      <c r="B242" s="26" t="s">
        <v>24</v>
      </c>
      <c r="C242" s="28">
        <f>IFERROR(VLOOKUP(A242,'Market List'!$B:$F,5,FALSE),0)</f>
        <v>0</v>
      </c>
      <c r="D242" s="30">
        <v>35.0</v>
      </c>
      <c r="E242" s="28">
        <f t="shared" si="14"/>
        <v>0</v>
      </c>
      <c r="F242" s="26"/>
      <c r="G242" s="32"/>
    </row>
    <row r="243" ht="14.25" customHeight="1">
      <c r="A243" s="25"/>
      <c r="B243" s="26"/>
      <c r="C243" s="28"/>
      <c r="D243" s="30"/>
      <c r="E243" s="28">
        <f t="shared" si="14"/>
        <v>0</v>
      </c>
      <c r="F243" s="26"/>
      <c r="G243" s="32"/>
    </row>
    <row r="244" ht="14.25" customHeight="1">
      <c r="A244" s="25"/>
      <c r="B244" s="26"/>
      <c r="C244" s="28"/>
      <c r="D244" s="30"/>
      <c r="E244" s="28">
        <f t="shared" si="14"/>
        <v>0</v>
      </c>
      <c r="F244" s="26"/>
      <c r="G244" s="32"/>
    </row>
    <row r="245" ht="14.25" customHeight="1">
      <c r="A245" s="36"/>
      <c r="B245" s="37"/>
      <c r="C245" s="38"/>
      <c r="D245" s="39"/>
      <c r="E245" s="38">
        <f t="shared" si="14"/>
        <v>0</v>
      </c>
      <c r="F245" s="37"/>
      <c r="G245" s="41"/>
    </row>
    <row r="246" ht="14.25" customHeight="1">
      <c r="A246" s="42" t="s">
        <v>62</v>
      </c>
      <c r="B246" s="43"/>
      <c r="C246" s="43"/>
      <c r="D246" s="45"/>
      <c r="E246" s="43">
        <v>0.0</v>
      </c>
      <c r="F246" s="43"/>
      <c r="G246" s="46"/>
    </row>
    <row r="247" ht="14.25" customHeight="1">
      <c r="A247" s="47" t="s">
        <v>64</v>
      </c>
      <c r="B247" s="48"/>
      <c r="C247" s="48"/>
      <c r="D247" s="49"/>
      <c r="E247" s="51">
        <f>SUM(E238:E246)</f>
        <v>146255.4545</v>
      </c>
      <c r="F247" s="48" t="s">
        <v>74</v>
      </c>
      <c r="G247" s="52"/>
    </row>
    <row r="248" ht="14.25" customHeight="1">
      <c r="A248" s="47" t="s">
        <v>67</v>
      </c>
      <c r="B248" s="48"/>
      <c r="C248" s="48"/>
      <c r="D248" s="49"/>
      <c r="E248" s="51">
        <f>E247*15%</f>
        <v>21938.31818</v>
      </c>
      <c r="F248" s="48" t="s">
        <v>76</v>
      </c>
      <c r="G248" s="52"/>
    </row>
    <row r="249" ht="14.25" customHeight="1">
      <c r="A249" s="47" t="s">
        <v>70</v>
      </c>
      <c r="B249" s="48"/>
      <c r="C249" s="48"/>
      <c r="D249" s="49"/>
      <c r="E249" s="51">
        <f>E247+E248</f>
        <v>168193.7727</v>
      </c>
      <c r="F249" s="48"/>
      <c r="G249" s="52"/>
    </row>
    <row r="250" ht="14.25" customHeight="1">
      <c r="A250" s="47" t="s">
        <v>71</v>
      </c>
      <c r="B250" s="48"/>
      <c r="C250" s="48"/>
      <c r="D250" s="49"/>
      <c r="E250" s="51">
        <f>IF(E252&gt;0,E252-E249,0)</f>
        <v>0</v>
      </c>
      <c r="F250" s="48"/>
      <c r="G250" s="52"/>
    </row>
    <row r="251" ht="14.25" customHeight="1">
      <c r="A251" s="53" t="s">
        <v>73</v>
      </c>
      <c r="B251" s="48"/>
      <c r="C251" s="48"/>
      <c r="D251" s="49"/>
      <c r="E251" s="56">
        <f>IFERROR(E249/E252,0)</f>
        <v>0</v>
      </c>
      <c r="F251" s="48"/>
      <c r="G251" s="52"/>
    </row>
    <row r="252" ht="14.25" customHeight="1">
      <c r="A252" s="47" t="s">
        <v>11</v>
      </c>
      <c r="B252" s="48"/>
      <c r="C252" s="48"/>
      <c r="D252" s="49"/>
      <c r="E252" s="78"/>
      <c r="F252" s="48"/>
      <c r="G252" s="52"/>
    </row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10:G110"/>
    <mergeCell ref="A128:G128"/>
    <mergeCell ref="A146:G146"/>
    <mergeCell ref="A164:G164"/>
    <mergeCell ref="A182:G182"/>
    <mergeCell ref="A200:G200"/>
    <mergeCell ref="A218:G218"/>
    <mergeCell ref="A236:G236"/>
    <mergeCell ref="A1:G1"/>
    <mergeCell ref="A2:G2"/>
    <mergeCell ref="A20:G20"/>
    <mergeCell ref="A38:G38"/>
    <mergeCell ref="A56:G56"/>
    <mergeCell ref="A74:G74"/>
    <mergeCell ref="A92:G9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161</v>
      </c>
      <c r="B1" s="2"/>
      <c r="C1" s="2"/>
      <c r="D1" s="2"/>
      <c r="E1" s="2"/>
      <c r="F1" s="2"/>
      <c r="G1" s="3"/>
    </row>
    <row r="2">
      <c r="A2" s="4" t="s">
        <v>162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190</v>
      </c>
      <c r="B4" s="15" t="s">
        <v>22</v>
      </c>
      <c r="C4" s="17">
        <f>'WIP FOOD'!$B$150</f>
        <v>1131.091447</v>
      </c>
      <c r="D4" s="19">
        <v>1.0</v>
      </c>
      <c r="E4" s="17">
        <f t="shared" ref="E4:E11" si="1">IFERROR(C4*D4,0)</f>
        <v>1131.091447</v>
      </c>
      <c r="F4" s="15"/>
      <c r="G4" s="24"/>
    </row>
    <row r="5" ht="14.25" customHeight="1">
      <c r="A5" s="25" t="s">
        <v>194</v>
      </c>
      <c r="B5" s="26" t="s">
        <v>24</v>
      </c>
      <c r="C5" s="28">
        <f>'WIP FOOD'!$B$329</f>
        <v>68.9389297</v>
      </c>
      <c r="D5" s="30">
        <v>22.0</v>
      </c>
      <c r="E5" s="28">
        <f t="shared" si="1"/>
        <v>1516.656453</v>
      </c>
      <c r="F5" s="26"/>
      <c r="G5" s="32"/>
    </row>
    <row r="6" ht="14.25" customHeight="1">
      <c r="A6" s="25"/>
      <c r="B6" s="26"/>
      <c r="C6" s="28"/>
      <c r="D6" s="30"/>
      <c r="E6" s="28">
        <f t="shared" si="1"/>
        <v>0</v>
      </c>
      <c r="F6" s="26"/>
      <c r="G6" s="32"/>
    </row>
    <row r="7" ht="14.25" customHeight="1">
      <c r="A7" s="25"/>
      <c r="B7" s="26"/>
      <c r="C7" s="28"/>
      <c r="D7" s="30"/>
      <c r="E7" s="28">
        <f t="shared" si="1"/>
        <v>0</v>
      </c>
      <c r="F7" s="26"/>
      <c r="G7" s="32"/>
    </row>
    <row r="8" ht="14.25" customHeight="1">
      <c r="A8" s="25"/>
      <c r="B8" s="26"/>
      <c r="C8" s="28"/>
      <c r="D8" s="30"/>
      <c r="E8" s="28">
        <f t="shared" si="1"/>
        <v>0</v>
      </c>
      <c r="F8" s="26"/>
      <c r="G8" s="32"/>
    </row>
    <row r="9" ht="14.25" customHeight="1">
      <c r="A9" s="25"/>
      <c r="B9" s="26"/>
      <c r="C9" s="28"/>
      <c r="D9" s="30"/>
      <c r="E9" s="28">
        <f t="shared" si="1"/>
        <v>0</v>
      </c>
      <c r="F9" s="26"/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2647.747901</v>
      </c>
      <c r="F13" s="48" t="s">
        <v>199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397.1621851</v>
      </c>
      <c r="F14" s="48" t="s">
        <v>201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3044.910086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11955.08991</v>
      </c>
      <c r="F16" s="48"/>
      <c r="G16" s="52"/>
    </row>
    <row r="17" ht="14.25" customHeight="1">
      <c r="A17" s="53" t="s">
        <v>73</v>
      </c>
      <c r="B17" s="48"/>
      <c r="C17" s="48"/>
      <c r="D17" s="49"/>
      <c r="E17" s="56">
        <f>IFERROR(E15/E18,0)</f>
        <v>0.2029940057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58">
        <v>15000.0</v>
      </c>
      <c r="F18" s="48"/>
      <c r="G18" s="52"/>
    </row>
    <row r="19" ht="14.25" customHeight="1">
      <c r="D19" s="60"/>
    </row>
    <row r="20">
      <c r="A20" s="4" t="s">
        <v>165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 t="s">
        <v>190</v>
      </c>
      <c r="B22" s="15" t="s">
        <v>22</v>
      </c>
      <c r="C22" s="17">
        <f>'WIP FOOD'!$B$150</f>
        <v>1131.091447</v>
      </c>
      <c r="D22" s="19">
        <v>1.0</v>
      </c>
      <c r="E22" s="17">
        <f t="shared" ref="E22:E29" si="2">IFERROR(C22*D22,0)</f>
        <v>1131.091447</v>
      </c>
      <c r="F22" s="15"/>
      <c r="G22" s="24"/>
    </row>
    <row r="23" ht="14.25" customHeight="1">
      <c r="A23" s="25" t="s">
        <v>207</v>
      </c>
      <c r="B23" s="26" t="s">
        <v>24</v>
      </c>
      <c r="C23" s="28">
        <f>'WIP FOOD'!$B$250</f>
        <v>72.49030335</v>
      </c>
      <c r="D23" s="30">
        <v>22.0</v>
      </c>
      <c r="E23" s="28">
        <f t="shared" si="2"/>
        <v>1594.786674</v>
      </c>
      <c r="F23" s="26"/>
      <c r="G23" s="32"/>
    </row>
    <row r="24" ht="14.25" customHeight="1">
      <c r="A24" s="25"/>
      <c r="B24" s="26"/>
      <c r="C24" s="28"/>
      <c r="D24" s="30"/>
      <c r="E24" s="28">
        <f t="shared" si="2"/>
        <v>0</v>
      </c>
      <c r="F24" s="26"/>
      <c r="G24" s="32"/>
    </row>
    <row r="25" ht="14.25" customHeight="1">
      <c r="A25" s="25"/>
      <c r="B25" s="26"/>
      <c r="C25" s="28"/>
      <c r="D25" s="30"/>
      <c r="E25" s="28">
        <f t="shared" si="2"/>
        <v>0</v>
      </c>
      <c r="F25" s="26"/>
      <c r="G25" s="32"/>
    </row>
    <row r="26" ht="14.25" customHeight="1">
      <c r="A26" s="25"/>
      <c r="B26" s="26"/>
      <c r="C26" s="28"/>
      <c r="D26" s="30"/>
      <c r="E26" s="28">
        <f t="shared" si="2"/>
        <v>0</v>
      </c>
      <c r="F26" s="26"/>
      <c r="G26" s="32"/>
    </row>
    <row r="27" ht="14.25" customHeight="1">
      <c r="A27" s="25"/>
      <c r="B27" s="26"/>
      <c r="C27" s="28"/>
      <c r="D27" s="30"/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2725.878121</v>
      </c>
      <c r="F31" s="48" t="s">
        <v>199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408.8817182</v>
      </c>
      <c r="F32" s="48" t="s">
        <v>201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3134.759839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11865.24016</v>
      </c>
      <c r="F34" s="48"/>
      <c r="G34" s="52"/>
    </row>
    <row r="35" ht="14.25" customHeight="1">
      <c r="A35" s="53" t="s">
        <v>73</v>
      </c>
      <c r="B35" s="48"/>
      <c r="C35" s="48"/>
      <c r="D35" s="49"/>
      <c r="E35" s="56">
        <f>IFERROR(E33/E36,0)</f>
        <v>0.2089839893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58">
        <v>15000.0</v>
      </c>
      <c r="F36" s="48"/>
      <c r="G36" s="52"/>
    </row>
    <row r="37" ht="14.25" customHeight="1">
      <c r="D37" s="60"/>
    </row>
    <row r="38" ht="14.25" customHeight="1">
      <c r="A38" s="4" t="s">
        <v>166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 t="s">
        <v>218</v>
      </c>
      <c r="B40" s="15" t="s">
        <v>219</v>
      </c>
      <c r="C40" s="17">
        <f>'WIP FOOD'!$B$531</f>
        <v>2380.048166</v>
      </c>
      <c r="D40" s="19">
        <v>1.0</v>
      </c>
      <c r="E40" s="17">
        <f t="shared" ref="E40:E47" si="3">IFERROR(C40*D40,0)</f>
        <v>2380.048166</v>
      </c>
      <c r="F40" s="15"/>
      <c r="G40" s="24"/>
    </row>
    <row r="41" ht="14.25" customHeight="1">
      <c r="A41" s="25" t="s">
        <v>221</v>
      </c>
      <c r="B41" s="26" t="s">
        <v>22</v>
      </c>
      <c r="C41" s="28">
        <f>'WIP FOOD'!$B$401</f>
        <v>41.78322519</v>
      </c>
      <c r="D41" s="30">
        <v>30.0</v>
      </c>
      <c r="E41" s="28">
        <f t="shared" si="3"/>
        <v>1253.496756</v>
      </c>
      <c r="F41" s="26"/>
      <c r="G41" s="32"/>
    </row>
    <row r="42" ht="14.25" customHeight="1">
      <c r="A42" s="25" t="s">
        <v>223</v>
      </c>
      <c r="B42" s="26" t="s">
        <v>24</v>
      </c>
      <c r="C42" s="28">
        <f>'WIP FOOD'!$B$109</f>
        <v>76.64166865</v>
      </c>
      <c r="D42" s="30">
        <v>23.0</v>
      </c>
      <c r="E42" s="28">
        <f t="shared" si="3"/>
        <v>1762.758379</v>
      </c>
      <c r="F42" s="26"/>
      <c r="G42" s="32"/>
    </row>
    <row r="43" ht="14.25" customHeight="1">
      <c r="A43" s="25"/>
      <c r="B43" s="26"/>
      <c r="C43" s="28"/>
      <c r="D43" s="30"/>
      <c r="E43" s="28">
        <f t="shared" si="3"/>
        <v>0</v>
      </c>
      <c r="F43" s="26"/>
      <c r="G43" s="32"/>
    </row>
    <row r="44" ht="14.25" customHeight="1">
      <c r="A44" s="25"/>
      <c r="B44" s="26"/>
      <c r="C44" s="28"/>
      <c r="D44" s="30"/>
      <c r="E44" s="28">
        <f t="shared" si="3"/>
        <v>0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5396.3033</v>
      </c>
      <c r="F49" s="48" t="s">
        <v>199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809.445495</v>
      </c>
      <c r="F50" s="48" t="s">
        <v>201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6205.748795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0</v>
      </c>
      <c r="F52" s="48"/>
      <c r="G52" s="52"/>
    </row>
    <row r="53" ht="14.25" customHeight="1">
      <c r="A53" s="53" t="s">
        <v>73</v>
      </c>
      <c r="B53" s="48"/>
      <c r="C53" s="48"/>
      <c r="D53" s="49"/>
      <c r="E53" s="56">
        <f>IFERROR(E51/E54,0)</f>
        <v>0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58"/>
      <c r="F54" s="48"/>
      <c r="G54" s="52"/>
    </row>
    <row r="55" ht="14.25" customHeight="1">
      <c r="D55" s="60"/>
    </row>
    <row r="56" ht="14.25" customHeight="1">
      <c r="A56" s="4" t="s">
        <v>168</v>
      </c>
    </row>
    <row r="57" ht="14.25" customHeight="1">
      <c r="A57" s="6" t="s">
        <v>8</v>
      </c>
      <c r="B57" s="8" t="s">
        <v>10</v>
      </c>
      <c r="C57" s="8" t="s">
        <v>12</v>
      </c>
      <c r="D57" s="10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 t="s">
        <v>218</v>
      </c>
      <c r="B58" s="15" t="s">
        <v>219</v>
      </c>
      <c r="C58" s="17">
        <f>'WIP FOOD'!$B$531</f>
        <v>2380.048166</v>
      </c>
      <c r="D58" s="19">
        <v>1.0</v>
      </c>
      <c r="E58" s="17">
        <f t="shared" ref="E58:E65" si="4">IFERROR(C58*D58,0)</f>
        <v>2380.048166</v>
      </c>
      <c r="F58" s="15"/>
      <c r="G58" s="24"/>
    </row>
    <row r="59" ht="14.25" customHeight="1">
      <c r="A59" s="25" t="s">
        <v>221</v>
      </c>
      <c r="B59" s="26" t="s">
        <v>22</v>
      </c>
      <c r="C59" s="28">
        <f>'WIP FOOD'!$B$401</f>
        <v>41.78322519</v>
      </c>
      <c r="D59" s="30">
        <v>30.0</v>
      </c>
      <c r="E59" s="28">
        <f t="shared" si="4"/>
        <v>1253.496756</v>
      </c>
      <c r="F59" s="26"/>
      <c r="G59" s="32"/>
    </row>
    <row r="60" ht="14.25" customHeight="1">
      <c r="A60" s="25" t="s">
        <v>230</v>
      </c>
      <c r="B60" s="26" t="s">
        <v>24</v>
      </c>
      <c r="C60" s="28">
        <f>'WIP FOOD'!$B$339</f>
        <v>101.9616028</v>
      </c>
      <c r="D60" s="30">
        <v>23.0</v>
      </c>
      <c r="E60" s="28">
        <f t="shared" si="4"/>
        <v>2345.116865</v>
      </c>
      <c r="F60" s="26"/>
      <c r="G60" s="32"/>
    </row>
    <row r="61" ht="14.25" customHeight="1">
      <c r="A61" s="25"/>
      <c r="B61" s="26"/>
      <c r="C61" s="28"/>
      <c r="D61" s="30"/>
      <c r="E61" s="28">
        <f t="shared" si="4"/>
        <v>0</v>
      </c>
      <c r="F61" s="26"/>
      <c r="G61" s="32"/>
    </row>
    <row r="62" ht="14.25" customHeight="1">
      <c r="A62" s="25"/>
      <c r="B62" s="26"/>
      <c r="C62" s="28"/>
      <c r="D62" s="30"/>
      <c r="E62" s="28">
        <f t="shared" si="4"/>
        <v>0</v>
      </c>
      <c r="F62" s="26"/>
      <c r="G62" s="32"/>
    </row>
    <row r="63" ht="14.25" customHeight="1">
      <c r="A63" s="25"/>
      <c r="B63" s="26"/>
      <c r="C63" s="28"/>
      <c r="D63" s="30"/>
      <c r="E63" s="28">
        <f t="shared" si="4"/>
        <v>0</v>
      </c>
      <c r="F63" s="26"/>
      <c r="G63" s="32"/>
    </row>
    <row r="64" ht="14.25" customHeight="1">
      <c r="A64" s="25"/>
      <c r="B64" s="26"/>
      <c r="C64" s="28"/>
      <c r="D64" s="30"/>
      <c r="E64" s="28">
        <f t="shared" si="4"/>
        <v>0</v>
      </c>
      <c r="F64" s="26"/>
      <c r="G64" s="32"/>
    </row>
    <row r="65" ht="14.25" customHeight="1">
      <c r="A65" s="36"/>
      <c r="B65" s="37"/>
      <c r="C65" s="38"/>
      <c r="D65" s="39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5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49"/>
      <c r="E67" s="51">
        <f>SUM(E58:E66)</f>
        <v>5978.661787</v>
      </c>
      <c r="F67" s="48" t="s">
        <v>199</v>
      </c>
      <c r="G67" s="52"/>
    </row>
    <row r="68" ht="14.25" customHeight="1">
      <c r="A68" s="47" t="s">
        <v>67</v>
      </c>
      <c r="B68" s="48"/>
      <c r="C68" s="48"/>
      <c r="D68" s="49"/>
      <c r="E68" s="51">
        <f>E67*15%</f>
        <v>896.799268</v>
      </c>
      <c r="F68" s="48" t="s">
        <v>201</v>
      </c>
      <c r="G68" s="52"/>
    </row>
    <row r="69" ht="14.25" customHeight="1">
      <c r="A69" s="47" t="s">
        <v>70</v>
      </c>
      <c r="B69" s="48"/>
      <c r="C69" s="48"/>
      <c r="D69" s="49"/>
      <c r="E69" s="51">
        <f>E67+E68</f>
        <v>6875.461054</v>
      </c>
      <c r="F69" s="48"/>
      <c r="G69" s="52"/>
    </row>
    <row r="70" ht="14.25" customHeight="1">
      <c r="A70" s="47" t="s">
        <v>71</v>
      </c>
      <c r="B70" s="48"/>
      <c r="C70" s="48"/>
      <c r="D70" s="49"/>
      <c r="E70" s="51">
        <f>IF(E72&gt;0,E72-E69,0)</f>
        <v>0</v>
      </c>
      <c r="F70" s="48"/>
      <c r="G70" s="52"/>
    </row>
    <row r="71" ht="14.25" customHeight="1">
      <c r="A71" s="53" t="s">
        <v>73</v>
      </c>
      <c r="B71" s="48"/>
      <c r="C71" s="48"/>
      <c r="D71" s="49"/>
      <c r="E71" s="56">
        <f>IFERROR(E69/E72,0)</f>
        <v>0</v>
      </c>
      <c r="F71" s="48"/>
      <c r="G71" s="52"/>
    </row>
    <row r="72" ht="14.25" customHeight="1">
      <c r="A72" s="47" t="s">
        <v>11</v>
      </c>
      <c r="B72" s="48"/>
      <c r="C72" s="48"/>
      <c r="D72" s="49"/>
      <c r="E72" s="58"/>
      <c r="F72" s="48"/>
      <c r="G72" s="52"/>
    </row>
    <row r="73" ht="14.25" customHeight="1">
      <c r="D73" s="60"/>
    </row>
    <row r="74" ht="14.25" customHeight="1">
      <c r="A74" s="4" t="s">
        <v>170</v>
      </c>
    </row>
    <row r="75" ht="14.25" customHeight="1">
      <c r="A75" s="6" t="s">
        <v>8</v>
      </c>
      <c r="B75" s="8" t="s">
        <v>10</v>
      </c>
      <c r="C75" s="8" t="s">
        <v>12</v>
      </c>
      <c r="D75" s="10" t="s">
        <v>13</v>
      </c>
      <c r="E75" s="8" t="s">
        <v>16</v>
      </c>
      <c r="F75" s="8" t="s">
        <v>17</v>
      </c>
      <c r="G75" s="13" t="s">
        <v>18</v>
      </c>
    </row>
    <row r="76" ht="14.25" customHeight="1">
      <c r="A76" s="14" t="s">
        <v>218</v>
      </c>
      <c r="B76" s="15" t="s">
        <v>219</v>
      </c>
      <c r="C76" s="17">
        <f>'WIP FOOD'!$B$531</f>
        <v>2380.048166</v>
      </c>
      <c r="D76" s="19">
        <v>1.0</v>
      </c>
      <c r="E76" s="17">
        <f t="shared" ref="E76:E83" si="5">IFERROR(C76*D76,0)</f>
        <v>2380.048166</v>
      </c>
      <c r="F76" s="15"/>
      <c r="G76" s="24"/>
    </row>
    <row r="77" ht="14.25" customHeight="1">
      <c r="A77" s="25" t="s">
        <v>221</v>
      </c>
      <c r="B77" s="26" t="s">
        <v>22</v>
      </c>
      <c r="C77" s="28">
        <f>'WIP FOOD'!$B$401</f>
        <v>41.78322519</v>
      </c>
      <c r="D77" s="30">
        <v>30.0</v>
      </c>
      <c r="E77" s="28">
        <f t="shared" si="5"/>
        <v>1253.496756</v>
      </c>
      <c r="F77" s="26"/>
      <c r="G77" s="32"/>
    </row>
    <row r="78" ht="14.25" customHeight="1">
      <c r="A78" s="25" t="s">
        <v>241</v>
      </c>
      <c r="B78" s="26" t="s">
        <v>24</v>
      </c>
      <c r="C78" s="28">
        <f>'WIP FOOD'!$B$260</f>
        <v>111.3971155</v>
      </c>
      <c r="D78" s="30">
        <v>23.0</v>
      </c>
      <c r="E78" s="28">
        <f t="shared" si="5"/>
        <v>2562.133657</v>
      </c>
      <c r="F78" s="26"/>
      <c r="G78" s="32"/>
    </row>
    <row r="79" ht="14.25" customHeight="1">
      <c r="A79" s="25"/>
      <c r="B79" s="26"/>
      <c r="C79" s="28"/>
      <c r="D79" s="30"/>
      <c r="E79" s="28">
        <f t="shared" si="5"/>
        <v>0</v>
      </c>
      <c r="F79" s="26"/>
      <c r="G79" s="32"/>
    </row>
    <row r="80" ht="14.25" customHeight="1">
      <c r="A80" s="25"/>
      <c r="B80" s="26"/>
      <c r="C80" s="28"/>
      <c r="D80" s="30"/>
      <c r="E80" s="28">
        <f t="shared" si="5"/>
        <v>0</v>
      </c>
      <c r="F80" s="26"/>
      <c r="G80" s="32"/>
    </row>
    <row r="81" ht="14.25" customHeight="1">
      <c r="A81" s="25"/>
      <c r="B81" s="26"/>
      <c r="C81" s="28"/>
      <c r="D81" s="30"/>
      <c r="E81" s="28">
        <f t="shared" si="5"/>
        <v>0</v>
      </c>
      <c r="F81" s="26"/>
      <c r="G81" s="32"/>
    </row>
    <row r="82" ht="14.25" customHeight="1">
      <c r="A82" s="25"/>
      <c r="B82" s="26"/>
      <c r="C82" s="28"/>
      <c r="D82" s="30"/>
      <c r="E82" s="28">
        <f t="shared" si="5"/>
        <v>0</v>
      </c>
      <c r="F82" s="26"/>
      <c r="G82" s="32"/>
    </row>
    <row r="83" ht="14.25" customHeight="1">
      <c r="A83" s="36"/>
      <c r="B83" s="37"/>
      <c r="C83" s="38"/>
      <c r="D83" s="39"/>
      <c r="E83" s="38">
        <f t="shared" si="5"/>
        <v>0</v>
      </c>
      <c r="F83" s="37"/>
      <c r="G83" s="41"/>
    </row>
    <row r="84" ht="14.25" customHeight="1">
      <c r="A84" s="42" t="s">
        <v>62</v>
      </c>
      <c r="B84" s="43"/>
      <c r="C84" s="43"/>
      <c r="D84" s="45"/>
      <c r="E84" s="43">
        <v>0.0</v>
      </c>
      <c r="F84" s="43"/>
      <c r="G84" s="46"/>
    </row>
    <row r="85" ht="14.25" customHeight="1">
      <c r="A85" s="47" t="s">
        <v>64</v>
      </c>
      <c r="B85" s="48"/>
      <c r="C85" s="48"/>
      <c r="D85" s="49"/>
      <c r="E85" s="51">
        <f>SUM(E76:E84)</f>
        <v>6195.678578</v>
      </c>
      <c r="F85" s="48" t="s">
        <v>199</v>
      </c>
      <c r="G85" s="52"/>
    </row>
    <row r="86" ht="14.25" customHeight="1">
      <c r="A86" s="47" t="s">
        <v>67</v>
      </c>
      <c r="B86" s="48"/>
      <c r="C86" s="48"/>
      <c r="D86" s="49"/>
      <c r="E86" s="51">
        <f>E85*15%</f>
        <v>929.3517867</v>
      </c>
      <c r="F86" s="48" t="s">
        <v>201</v>
      </c>
      <c r="G86" s="52"/>
    </row>
    <row r="87" ht="14.25" customHeight="1">
      <c r="A87" s="47" t="s">
        <v>70</v>
      </c>
      <c r="B87" s="48"/>
      <c r="C87" s="48"/>
      <c r="D87" s="49"/>
      <c r="E87" s="51">
        <f>E85+E86</f>
        <v>7125.030365</v>
      </c>
      <c r="F87" s="48"/>
      <c r="G87" s="52"/>
    </row>
    <row r="88" ht="14.25" customHeight="1">
      <c r="A88" s="47" t="s">
        <v>71</v>
      </c>
      <c r="B88" s="48"/>
      <c r="C88" s="48"/>
      <c r="D88" s="49"/>
      <c r="E88" s="51">
        <f>IF(E90&gt;0,E90-E87,0)</f>
        <v>0</v>
      </c>
      <c r="F88" s="48"/>
      <c r="G88" s="52"/>
    </row>
    <row r="89" ht="14.25" customHeight="1">
      <c r="A89" s="53" t="s">
        <v>73</v>
      </c>
      <c r="B89" s="48"/>
      <c r="C89" s="48"/>
      <c r="D89" s="49"/>
      <c r="E89" s="56">
        <f>IFERROR(E87/E90,0)</f>
        <v>0</v>
      </c>
      <c r="F89" s="48"/>
      <c r="G89" s="52"/>
    </row>
    <row r="90" ht="14.25" customHeight="1">
      <c r="A90" s="47" t="s">
        <v>11</v>
      </c>
      <c r="B90" s="48"/>
      <c r="C90" s="48"/>
      <c r="D90" s="49"/>
      <c r="E90" s="58"/>
      <c r="F90" s="48"/>
      <c r="G90" s="52"/>
    </row>
    <row r="91" ht="14.25" customHeight="1">
      <c r="D91" s="60"/>
    </row>
    <row r="92" ht="14.25" customHeight="1">
      <c r="A92" s="4" t="s">
        <v>172</v>
      </c>
    </row>
    <row r="93" ht="14.25" customHeight="1">
      <c r="A93" s="6" t="s">
        <v>8</v>
      </c>
      <c r="B93" s="8" t="s">
        <v>10</v>
      </c>
      <c r="C93" s="8" t="s">
        <v>12</v>
      </c>
      <c r="D93" s="10" t="s">
        <v>13</v>
      </c>
      <c r="E93" s="8" t="s">
        <v>16</v>
      </c>
      <c r="F93" s="8" t="s">
        <v>17</v>
      </c>
      <c r="G93" s="13" t="s">
        <v>18</v>
      </c>
    </row>
    <row r="94" ht="14.25" customHeight="1">
      <c r="A94" s="14" t="s">
        <v>218</v>
      </c>
      <c r="B94" s="15" t="s">
        <v>219</v>
      </c>
      <c r="C94" s="17">
        <f>'WIP FOOD'!$B$531</f>
        <v>2380.048166</v>
      </c>
      <c r="D94" s="19">
        <v>1.0</v>
      </c>
      <c r="E94" s="17">
        <f t="shared" ref="E94:E101" si="6">IFERROR(C94*D94,0)</f>
        <v>2380.048166</v>
      </c>
      <c r="F94" s="15"/>
      <c r="G94" s="24"/>
    </row>
    <row r="95" ht="14.25" customHeight="1">
      <c r="A95" s="25" t="s">
        <v>221</v>
      </c>
      <c r="B95" s="26" t="s">
        <v>22</v>
      </c>
      <c r="C95" s="28">
        <f>'WIP FOOD'!$B$401</f>
        <v>41.78322519</v>
      </c>
      <c r="D95" s="30">
        <v>30.0</v>
      </c>
      <c r="E95" s="28">
        <f t="shared" si="6"/>
        <v>1253.496756</v>
      </c>
      <c r="F95" s="26"/>
      <c r="G95" s="32"/>
    </row>
    <row r="96" ht="14.25" customHeight="1">
      <c r="A96" s="25" t="s">
        <v>252</v>
      </c>
      <c r="B96" s="26" t="s">
        <v>24</v>
      </c>
      <c r="C96" s="28">
        <f>'WIP FOOD'!$B$664</f>
        <v>49.44841124</v>
      </c>
      <c r="D96" s="30">
        <v>23.0</v>
      </c>
      <c r="E96" s="28">
        <f t="shared" si="6"/>
        <v>1137.313458</v>
      </c>
      <c r="F96" s="26"/>
      <c r="G96" s="32"/>
    </row>
    <row r="97" ht="14.25" customHeight="1">
      <c r="A97" s="25"/>
      <c r="B97" s="26"/>
      <c r="C97" s="28"/>
      <c r="D97" s="30"/>
      <c r="E97" s="28">
        <f t="shared" si="6"/>
        <v>0</v>
      </c>
      <c r="F97" s="26"/>
      <c r="G97" s="32"/>
    </row>
    <row r="98" ht="14.25" customHeight="1">
      <c r="A98" s="25"/>
      <c r="B98" s="26"/>
      <c r="C98" s="28"/>
      <c r="D98" s="30"/>
      <c r="E98" s="28">
        <f t="shared" si="6"/>
        <v>0</v>
      </c>
      <c r="F98" s="26"/>
      <c r="G98" s="32"/>
    </row>
    <row r="99" ht="14.25" customHeight="1">
      <c r="A99" s="25"/>
      <c r="B99" s="26"/>
      <c r="C99" s="28"/>
      <c r="D99" s="30"/>
      <c r="E99" s="28">
        <f t="shared" si="6"/>
        <v>0</v>
      </c>
      <c r="F99" s="26"/>
      <c r="G99" s="32"/>
    </row>
    <row r="100" ht="14.25" customHeight="1">
      <c r="A100" s="25"/>
      <c r="B100" s="26"/>
      <c r="C100" s="28"/>
      <c r="D100" s="30"/>
      <c r="E100" s="28">
        <f t="shared" si="6"/>
        <v>0</v>
      </c>
      <c r="F100" s="26"/>
      <c r="G100" s="32"/>
    </row>
    <row r="101" ht="14.25" customHeight="1">
      <c r="A101" s="36"/>
      <c r="B101" s="37"/>
      <c r="C101" s="38"/>
      <c r="D101" s="39"/>
      <c r="E101" s="38">
        <f t="shared" si="6"/>
        <v>0</v>
      </c>
      <c r="F101" s="37"/>
      <c r="G101" s="41"/>
    </row>
    <row r="102" ht="14.25" customHeight="1">
      <c r="A102" s="42" t="s">
        <v>62</v>
      </c>
      <c r="B102" s="43"/>
      <c r="C102" s="43"/>
      <c r="D102" s="45"/>
      <c r="E102" s="43">
        <v>0.0</v>
      </c>
      <c r="F102" s="43"/>
      <c r="G102" s="46"/>
    </row>
    <row r="103" ht="14.25" customHeight="1">
      <c r="A103" s="47" t="s">
        <v>64</v>
      </c>
      <c r="B103" s="48"/>
      <c r="C103" s="48"/>
      <c r="D103" s="49"/>
      <c r="E103" s="51">
        <f>SUM(E94:E102)</f>
        <v>4770.85838</v>
      </c>
      <c r="F103" s="48" t="s">
        <v>199</v>
      </c>
      <c r="G103" s="52"/>
    </row>
    <row r="104" ht="14.25" customHeight="1">
      <c r="A104" s="47" t="s">
        <v>67</v>
      </c>
      <c r="B104" s="48"/>
      <c r="C104" s="48"/>
      <c r="D104" s="49"/>
      <c r="E104" s="51">
        <f>E103*15%</f>
        <v>715.628757</v>
      </c>
      <c r="F104" s="48" t="s">
        <v>201</v>
      </c>
      <c r="G104" s="52"/>
    </row>
    <row r="105" ht="14.25" customHeight="1">
      <c r="A105" s="47" t="s">
        <v>70</v>
      </c>
      <c r="B105" s="48"/>
      <c r="C105" s="48"/>
      <c r="D105" s="49"/>
      <c r="E105" s="51">
        <f>E103+E104</f>
        <v>5486.487137</v>
      </c>
      <c r="F105" s="48"/>
      <c r="G105" s="52"/>
    </row>
    <row r="106" ht="14.25" customHeight="1">
      <c r="A106" s="47" t="s">
        <v>71</v>
      </c>
      <c r="B106" s="48"/>
      <c r="C106" s="48"/>
      <c r="D106" s="49"/>
      <c r="E106" s="51">
        <f>IF(E108&gt;0,E108-E105,0)</f>
        <v>0</v>
      </c>
      <c r="F106" s="48"/>
      <c r="G106" s="52"/>
    </row>
    <row r="107" ht="14.25" customHeight="1">
      <c r="A107" s="53" t="s">
        <v>73</v>
      </c>
      <c r="B107" s="48"/>
      <c r="C107" s="48"/>
      <c r="D107" s="49"/>
      <c r="E107" s="56">
        <f>IFERROR(E105/E108,0)</f>
        <v>0</v>
      </c>
      <c r="F107" s="48"/>
      <c r="G107" s="52"/>
    </row>
    <row r="108" ht="14.25" customHeight="1">
      <c r="A108" s="47" t="s">
        <v>11</v>
      </c>
      <c r="B108" s="48"/>
      <c r="C108" s="48"/>
      <c r="D108" s="49"/>
      <c r="E108" s="58"/>
      <c r="F108" s="48"/>
      <c r="G108" s="52"/>
    </row>
    <row r="109" ht="14.25" customHeight="1">
      <c r="D109" s="60"/>
    </row>
    <row r="110" ht="14.25" customHeight="1">
      <c r="A110" s="92" t="s">
        <v>174</v>
      </c>
    </row>
    <row r="111" ht="14.25" customHeight="1">
      <c r="A111" s="93" t="s">
        <v>8</v>
      </c>
      <c r="B111" s="94" t="s">
        <v>10</v>
      </c>
      <c r="C111" s="94" t="s">
        <v>12</v>
      </c>
      <c r="D111" s="95" t="s">
        <v>13</v>
      </c>
      <c r="E111" s="94" t="s">
        <v>16</v>
      </c>
      <c r="F111" s="94" t="s">
        <v>17</v>
      </c>
      <c r="G111" s="96" t="s">
        <v>18</v>
      </c>
    </row>
    <row r="112" ht="14.25" customHeight="1">
      <c r="A112" s="14" t="s">
        <v>190</v>
      </c>
      <c r="B112" s="15" t="s">
        <v>22</v>
      </c>
      <c r="C112" s="17">
        <f>'WIP FOOD'!$B$150</f>
        <v>1131.091447</v>
      </c>
      <c r="D112" s="19">
        <v>1.0</v>
      </c>
      <c r="E112" s="17">
        <f t="shared" ref="E112:E119" si="7">IFERROR(C112*D112,0)</f>
        <v>1131.091447</v>
      </c>
      <c r="F112" s="15"/>
      <c r="G112" s="24"/>
    </row>
    <row r="113" ht="14.25" customHeight="1">
      <c r="A113" s="25" t="s">
        <v>221</v>
      </c>
      <c r="B113" s="26" t="s">
        <v>22</v>
      </c>
      <c r="C113" s="28">
        <f>'WIP FOOD'!$B$401</f>
        <v>41.78322519</v>
      </c>
      <c r="D113" s="30">
        <v>30.0</v>
      </c>
      <c r="E113" s="28">
        <f t="shared" si="7"/>
        <v>1253.496756</v>
      </c>
      <c r="F113" s="26"/>
      <c r="G113" s="32"/>
    </row>
    <row r="114" ht="14.25" customHeight="1">
      <c r="A114" s="25" t="s">
        <v>258</v>
      </c>
      <c r="B114" s="26" t="s">
        <v>24</v>
      </c>
      <c r="C114" s="28">
        <f>'WIP FOOD'!$B$99</f>
        <v>108.4579152</v>
      </c>
      <c r="D114" s="30">
        <v>30.0</v>
      </c>
      <c r="E114" s="28">
        <f t="shared" si="7"/>
        <v>3253.737457</v>
      </c>
      <c r="F114" s="26"/>
      <c r="G114" s="32"/>
    </row>
    <row r="115" ht="14.25" customHeight="1">
      <c r="A115" s="25"/>
      <c r="B115" s="26"/>
      <c r="C115" s="28">
        <f>IFERROR(VLOOKUP(A115,'Market List'!$B:$F,5,FALSE),0)</f>
        <v>0</v>
      </c>
      <c r="D115" s="30"/>
      <c r="E115" s="28">
        <f t="shared" si="7"/>
        <v>0</v>
      </c>
      <c r="F115" s="26"/>
      <c r="G115" s="32"/>
    </row>
    <row r="116" ht="14.25" customHeight="1">
      <c r="A116" s="25"/>
      <c r="B116" s="26"/>
      <c r="C116" s="28">
        <f>IFERROR(VLOOKUP(A116,'Market List'!$B:$F,5,FALSE),0)</f>
        <v>0</v>
      </c>
      <c r="D116" s="30"/>
      <c r="E116" s="28">
        <f t="shared" si="7"/>
        <v>0</v>
      </c>
      <c r="F116" s="26"/>
      <c r="G116" s="32"/>
    </row>
    <row r="117" ht="14.25" customHeight="1">
      <c r="A117" s="25"/>
      <c r="B117" s="26"/>
      <c r="C117" s="28">
        <f>IFERROR(VLOOKUP(A117,'Market List'!$B:$F,5,FALSE),0)</f>
        <v>0</v>
      </c>
      <c r="D117" s="30"/>
      <c r="E117" s="28">
        <f t="shared" si="7"/>
        <v>0</v>
      </c>
      <c r="F117" s="26"/>
      <c r="G117" s="32"/>
    </row>
    <row r="118" ht="14.25" customHeight="1">
      <c r="A118" s="25"/>
      <c r="B118" s="26"/>
      <c r="C118" s="28">
        <f>IFERROR(VLOOKUP(A118,'Market List'!$B:$F,5,FALSE),0)</f>
        <v>0</v>
      </c>
      <c r="D118" s="30"/>
      <c r="E118" s="28">
        <f t="shared" si="7"/>
        <v>0</v>
      </c>
      <c r="F118" s="26"/>
      <c r="G118" s="32"/>
    </row>
    <row r="119" ht="14.25" customHeight="1">
      <c r="A119" s="36"/>
      <c r="B119" s="37"/>
      <c r="C119" s="38">
        <f>IFERROR(VLOOKUP(A119,'Market List'!$B:$F,5,FALSE),0)</f>
        <v>0</v>
      </c>
      <c r="D119" s="39"/>
      <c r="E119" s="38">
        <f t="shared" si="7"/>
        <v>0</v>
      </c>
      <c r="F119" s="37"/>
      <c r="G119" s="41"/>
    </row>
    <row r="120" ht="14.25" customHeight="1">
      <c r="A120" s="42" t="s">
        <v>62</v>
      </c>
      <c r="B120" s="43"/>
      <c r="C120" s="43"/>
      <c r="D120" s="45"/>
      <c r="E120" s="97">
        <v>0.0</v>
      </c>
      <c r="F120" s="43"/>
      <c r="G120" s="46"/>
    </row>
    <row r="121" ht="14.25" customHeight="1">
      <c r="A121" s="98" t="s">
        <v>64</v>
      </c>
      <c r="B121" s="99"/>
      <c r="C121" s="99"/>
      <c r="D121" s="100"/>
      <c r="E121" s="101">
        <f>SUM(E112:E120)</f>
        <v>5638.32566</v>
      </c>
      <c r="F121" s="99" t="s">
        <v>199</v>
      </c>
      <c r="G121" s="102"/>
    </row>
    <row r="122" ht="14.25" customHeight="1">
      <c r="A122" s="98" t="s">
        <v>67</v>
      </c>
      <c r="B122" s="99"/>
      <c r="C122" s="99"/>
      <c r="D122" s="100"/>
      <c r="E122" s="101">
        <f>E121*15%</f>
        <v>845.7488489</v>
      </c>
      <c r="F122" s="99" t="s">
        <v>201</v>
      </c>
      <c r="G122" s="102"/>
    </row>
    <row r="123" ht="14.25" customHeight="1">
      <c r="A123" s="98" t="s">
        <v>70</v>
      </c>
      <c r="B123" s="99"/>
      <c r="C123" s="99"/>
      <c r="D123" s="100"/>
      <c r="E123" s="101">
        <f>E121+E122</f>
        <v>6484.074509</v>
      </c>
      <c r="F123" s="99"/>
      <c r="G123" s="102"/>
    </row>
    <row r="124" ht="14.25" customHeight="1">
      <c r="A124" s="98" t="s">
        <v>71</v>
      </c>
      <c r="B124" s="99"/>
      <c r="C124" s="99"/>
      <c r="D124" s="100"/>
      <c r="E124" s="101">
        <f>IF(E126&gt;0,E126-E123,0)</f>
        <v>13515.92549</v>
      </c>
      <c r="F124" s="99"/>
      <c r="G124" s="102"/>
    </row>
    <row r="125" ht="14.25" customHeight="1">
      <c r="A125" s="53" t="s">
        <v>73</v>
      </c>
      <c r="B125" s="99"/>
      <c r="C125" s="99"/>
      <c r="D125" s="100"/>
      <c r="E125" s="103">
        <f>IFERROR(E123/E126,0)</f>
        <v>0.3242037254</v>
      </c>
      <c r="F125" s="99"/>
      <c r="G125" s="102"/>
    </row>
    <row r="126" ht="14.25" customHeight="1">
      <c r="A126" s="98" t="s">
        <v>11</v>
      </c>
      <c r="B126" s="99"/>
      <c r="C126" s="99"/>
      <c r="D126" s="100"/>
      <c r="E126" s="104">
        <v>20000.0</v>
      </c>
      <c r="F126" s="99"/>
      <c r="G126" s="102"/>
    </row>
    <row r="127" ht="14.25" customHeight="1"/>
    <row r="128" ht="14.25" customHeight="1">
      <c r="A128" s="105" t="s">
        <v>176</v>
      </c>
    </row>
    <row r="129" ht="14.25" customHeight="1">
      <c r="A129" s="106" t="s">
        <v>8</v>
      </c>
      <c r="B129" s="106" t="s">
        <v>10</v>
      </c>
      <c r="C129" s="106" t="s">
        <v>12</v>
      </c>
      <c r="D129" s="106" t="s">
        <v>13</v>
      </c>
      <c r="E129" s="106" t="s">
        <v>16</v>
      </c>
      <c r="F129" s="106" t="s">
        <v>17</v>
      </c>
      <c r="G129" s="106" t="s">
        <v>18</v>
      </c>
    </row>
    <row r="130" ht="14.25" customHeight="1">
      <c r="A130" s="107" t="s">
        <v>190</v>
      </c>
      <c r="B130" s="107" t="s">
        <v>22</v>
      </c>
      <c r="C130" s="108">
        <f>'WIP FOOD'!$B$150</f>
        <v>1131.091447</v>
      </c>
      <c r="D130" s="107">
        <v>1.0</v>
      </c>
      <c r="E130" s="108">
        <f t="shared" ref="E130:E137" si="8">IFERROR(C130*D130,0)</f>
        <v>1131.091447</v>
      </c>
      <c r="F130" s="107"/>
      <c r="G130" s="107"/>
    </row>
    <row r="131" ht="14.25" customHeight="1">
      <c r="A131" s="107" t="s">
        <v>221</v>
      </c>
      <c r="B131" s="107" t="s">
        <v>22</v>
      </c>
      <c r="C131" s="108">
        <f>'WIP FOOD'!$B$401</f>
        <v>41.78322519</v>
      </c>
      <c r="D131" s="107">
        <v>30.0</v>
      </c>
      <c r="E131" s="108">
        <f t="shared" si="8"/>
        <v>1253.496756</v>
      </c>
      <c r="F131" s="107"/>
      <c r="G131" s="107"/>
    </row>
    <row r="132" ht="14.25" customHeight="1">
      <c r="A132" s="107" t="s">
        <v>194</v>
      </c>
      <c r="B132" s="107" t="s">
        <v>24</v>
      </c>
      <c r="C132" s="108">
        <f>'WIP FOOD'!$B$329</f>
        <v>68.9389297</v>
      </c>
      <c r="D132" s="107">
        <v>30.0</v>
      </c>
      <c r="E132" s="108">
        <f t="shared" si="8"/>
        <v>2068.167891</v>
      </c>
      <c r="F132" s="107"/>
      <c r="G132" s="107"/>
    </row>
    <row r="133" ht="14.25" customHeight="1">
      <c r="A133" s="107"/>
      <c r="B133" s="107"/>
      <c r="C133" s="108">
        <f>IFERROR(VLOOKUP(A133,'Market List'!$B:$F,5,FALSE),0)</f>
        <v>0</v>
      </c>
      <c r="D133" s="107"/>
      <c r="E133" s="108">
        <f t="shared" si="8"/>
        <v>0</v>
      </c>
      <c r="F133" s="107"/>
      <c r="G133" s="107"/>
    </row>
    <row r="134" ht="14.25" customHeight="1">
      <c r="A134" s="107"/>
      <c r="B134" s="107"/>
      <c r="C134" s="108">
        <f>IFERROR(VLOOKUP(A134,'Market List'!$B:$F,5,FALSE),0)</f>
        <v>0</v>
      </c>
      <c r="D134" s="107"/>
      <c r="E134" s="108">
        <f t="shared" si="8"/>
        <v>0</v>
      </c>
      <c r="F134" s="107"/>
      <c r="G134" s="107"/>
    </row>
    <row r="135" ht="14.25" customHeight="1">
      <c r="A135" s="107"/>
      <c r="B135" s="107"/>
      <c r="C135" s="108">
        <f>IFERROR(VLOOKUP(A135,'Market List'!$B:$F,5,FALSE),0)</f>
        <v>0</v>
      </c>
      <c r="D135" s="107"/>
      <c r="E135" s="108">
        <f t="shared" si="8"/>
        <v>0</v>
      </c>
      <c r="F135" s="107"/>
      <c r="G135" s="107"/>
    </row>
    <row r="136" ht="14.25" customHeight="1">
      <c r="A136" s="107"/>
      <c r="B136" s="107"/>
      <c r="C136" s="108">
        <f>IFERROR(VLOOKUP(A136,'Market List'!$B:$F,5,FALSE),0)</f>
        <v>0</v>
      </c>
      <c r="D136" s="107"/>
      <c r="E136" s="108">
        <f t="shared" si="8"/>
        <v>0</v>
      </c>
      <c r="F136" s="107"/>
      <c r="G136" s="107"/>
    </row>
    <row r="137" ht="14.25" customHeight="1">
      <c r="A137" s="107"/>
      <c r="B137" s="107"/>
      <c r="C137" s="108">
        <f>IFERROR(VLOOKUP(A137,'Market List'!$B:$F,5,FALSE),0)</f>
        <v>0</v>
      </c>
      <c r="D137" s="107"/>
      <c r="E137" s="108">
        <f t="shared" si="8"/>
        <v>0</v>
      </c>
      <c r="F137" s="107"/>
      <c r="G137" s="107"/>
    </row>
    <row r="138" ht="14.25" customHeight="1">
      <c r="A138" s="107" t="s">
        <v>62</v>
      </c>
      <c r="B138" s="107"/>
      <c r="C138" s="107"/>
      <c r="D138" s="107"/>
      <c r="E138" s="108">
        <v>0.0</v>
      </c>
      <c r="F138" s="107"/>
      <c r="G138" s="107"/>
    </row>
    <row r="139" ht="14.25" customHeight="1">
      <c r="A139" s="109" t="s">
        <v>64</v>
      </c>
      <c r="B139" s="109"/>
      <c r="C139" s="109"/>
      <c r="D139" s="109"/>
      <c r="E139" s="110">
        <f>SUM(E130:E138)</f>
        <v>4452.756094</v>
      </c>
      <c r="F139" s="109" t="s">
        <v>199</v>
      </c>
      <c r="G139" s="109"/>
    </row>
    <row r="140" ht="14.25" customHeight="1">
      <c r="A140" s="109" t="s">
        <v>67</v>
      </c>
      <c r="B140" s="109"/>
      <c r="C140" s="109"/>
      <c r="D140" s="109"/>
      <c r="E140" s="110">
        <f>E139*15%</f>
        <v>667.9134141</v>
      </c>
      <c r="F140" s="109" t="s">
        <v>201</v>
      </c>
      <c r="G140" s="109"/>
    </row>
    <row r="141" ht="14.25" customHeight="1">
      <c r="A141" s="109" t="s">
        <v>70</v>
      </c>
      <c r="B141" s="109"/>
      <c r="C141" s="109"/>
      <c r="D141" s="109"/>
      <c r="E141" s="110">
        <f>E139+E140</f>
        <v>5120.669508</v>
      </c>
      <c r="F141" s="109"/>
      <c r="G141" s="109"/>
    </row>
    <row r="142" ht="14.25" customHeight="1">
      <c r="A142" s="109" t="s">
        <v>71</v>
      </c>
      <c r="B142" s="109"/>
      <c r="C142" s="109"/>
      <c r="D142" s="109"/>
      <c r="E142" s="110">
        <f>IF(E144&gt;0,E144-E141,0)</f>
        <v>14879.33049</v>
      </c>
      <c r="F142" s="109"/>
      <c r="G142" s="109"/>
    </row>
    <row r="143" ht="14.25" customHeight="1">
      <c r="A143" s="53" t="s">
        <v>73</v>
      </c>
      <c r="B143" s="109"/>
      <c r="C143" s="109"/>
      <c r="D143" s="109"/>
      <c r="E143" s="111">
        <f>IFERROR(E141/E144,0)</f>
        <v>0.2560334754</v>
      </c>
      <c r="F143" s="109"/>
      <c r="G143" s="109"/>
    </row>
    <row r="144" ht="14.25" customHeight="1">
      <c r="A144" s="109" t="s">
        <v>11</v>
      </c>
      <c r="B144" s="109"/>
      <c r="C144" s="109"/>
      <c r="D144" s="109"/>
      <c r="E144" s="112">
        <v>20000.0</v>
      </c>
      <c r="F144" s="109"/>
      <c r="G144" s="109"/>
    </row>
    <row r="145" ht="14.25" customHeight="1"/>
    <row r="146" ht="14.25" customHeight="1">
      <c r="A146" s="105" t="s">
        <v>178</v>
      </c>
    </row>
    <row r="147" ht="14.25" customHeight="1">
      <c r="A147" s="106" t="s">
        <v>8</v>
      </c>
      <c r="B147" s="106" t="s">
        <v>10</v>
      </c>
      <c r="C147" s="106" t="s">
        <v>12</v>
      </c>
      <c r="D147" s="106" t="s">
        <v>13</v>
      </c>
      <c r="E147" s="106" t="s">
        <v>16</v>
      </c>
      <c r="F147" s="106" t="s">
        <v>17</v>
      </c>
      <c r="G147" s="106" t="s">
        <v>18</v>
      </c>
    </row>
    <row r="148" ht="14.25" customHeight="1">
      <c r="A148" s="107" t="s">
        <v>190</v>
      </c>
      <c r="B148" s="107" t="s">
        <v>22</v>
      </c>
      <c r="C148" s="108">
        <f>'WIP FOOD'!$B$150</f>
        <v>1131.091447</v>
      </c>
      <c r="D148" s="107">
        <v>1.0</v>
      </c>
      <c r="E148" s="108">
        <f t="shared" ref="E148:E155" si="9">IFERROR(C148*D148,0)</f>
        <v>1131.091447</v>
      </c>
      <c r="F148" s="107"/>
      <c r="G148" s="107"/>
    </row>
    <row r="149" ht="14.25" customHeight="1">
      <c r="A149" s="107" t="s">
        <v>221</v>
      </c>
      <c r="B149" s="107" t="s">
        <v>22</v>
      </c>
      <c r="C149" s="108">
        <f>'WIP FOOD'!$B$401</f>
        <v>41.78322519</v>
      </c>
      <c r="D149" s="107">
        <v>30.0</v>
      </c>
      <c r="E149" s="108">
        <f t="shared" si="9"/>
        <v>1253.496756</v>
      </c>
      <c r="F149" s="107"/>
      <c r="G149" s="107"/>
    </row>
    <row r="150" ht="14.25" customHeight="1">
      <c r="A150" s="107" t="s">
        <v>207</v>
      </c>
      <c r="B150" s="107" t="s">
        <v>24</v>
      </c>
      <c r="C150" s="108">
        <f>'WIP FOOD'!$B$250</f>
        <v>72.49030335</v>
      </c>
      <c r="D150" s="107">
        <v>30.0</v>
      </c>
      <c r="E150" s="108">
        <f t="shared" si="9"/>
        <v>2174.7091</v>
      </c>
      <c r="F150" s="107"/>
      <c r="G150" s="107"/>
    </row>
    <row r="151" ht="14.25" customHeight="1">
      <c r="A151" s="107"/>
      <c r="B151" s="107"/>
      <c r="C151" s="108">
        <f>IFERROR(VLOOKUP(A151,'Market List'!$B:$F,5,FALSE),0)</f>
        <v>0</v>
      </c>
      <c r="D151" s="107"/>
      <c r="E151" s="108">
        <f t="shared" si="9"/>
        <v>0</v>
      </c>
      <c r="F151" s="107"/>
      <c r="G151" s="107"/>
    </row>
    <row r="152" ht="14.25" customHeight="1">
      <c r="A152" s="107"/>
      <c r="B152" s="107"/>
      <c r="C152" s="108">
        <f>IFERROR(VLOOKUP(A152,'Market List'!$B:$F,5,FALSE),0)</f>
        <v>0</v>
      </c>
      <c r="D152" s="107"/>
      <c r="E152" s="108">
        <f t="shared" si="9"/>
        <v>0</v>
      </c>
      <c r="F152" s="107"/>
      <c r="G152" s="107"/>
    </row>
    <row r="153" ht="14.25" customHeight="1">
      <c r="A153" s="107"/>
      <c r="B153" s="107"/>
      <c r="C153" s="108">
        <f>IFERROR(VLOOKUP(A153,'Market List'!$B:$F,5,FALSE),0)</f>
        <v>0</v>
      </c>
      <c r="D153" s="107"/>
      <c r="E153" s="108">
        <f t="shared" si="9"/>
        <v>0</v>
      </c>
      <c r="F153" s="107"/>
      <c r="G153" s="107"/>
    </row>
    <row r="154" ht="14.25" customHeight="1">
      <c r="A154" s="107"/>
      <c r="B154" s="107"/>
      <c r="C154" s="108">
        <f>IFERROR(VLOOKUP(A154,'Market List'!$B:$F,5,FALSE),0)</f>
        <v>0</v>
      </c>
      <c r="D154" s="107"/>
      <c r="E154" s="108">
        <f t="shared" si="9"/>
        <v>0</v>
      </c>
      <c r="F154" s="107"/>
      <c r="G154" s="107"/>
    </row>
    <row r="155" ht="14.25" customHeight="1">
      <c r="A155" s="107"/>
      <c r="B155" s="107"/>
      <c r="C155" s="108">
        <f>IFERROR(VLOOKUP(A155,'Market List'!$B:$F,5,FALSE),0)</f>
        <v>0</v>
      </c>
      <c r="D155" s="107"/>
      <c r="E155" s="108">
        <f t="shared" si="9"/>
        <v>0</v>
      </c>
      <c r="F155" s="107"/>
      <c r="G155" s="107"/>
    </row>
    <row r="156" ht="14.25" customHeight="1">
      <c r="A156" s="107" t="s">
        <v>62</v>
      </c>
      <c r="B156" s="107"/>
      <c r="C156" s="107"/>
      <c r="D156" s="107"/>
      <c r="E156" s="108">
        <v>0.0</v>
      </c>
      <c r="F156" s="107"/>
      <c r="G156" s="107"/>
    </row>
    <row r="157" ht="14.25" customHeight="1">
      <c r="A157" s="109" t="s">
        <v>64</v>
      </c>
      <c r="B157" s="109"/>
      <c r="C157" s="109"/>
      <c r="D157" s="109"/>
      <c r="E157" s="110">
        <f>SUM(E148:E156)</f>
        <v>4559.297303</v>
      </c>
      <c r="F157" s="109" t="s">
        <v>199</v>
      </c>
      <c r="G157" s="109"/>
    </row>
    <row r="158" ht="14.25" customHeight="1">
      <c r="A158" s="109" t="s">
        <v>67</v>
      </c>
      <c r="B158" s="109"/>
      <c r="C158" s="109"/>
      <c r="D158" s="109"/>
      <c r="E158" s="110">
        <f>E157*15%</f>
        <v>683.8945955</v>
      </c>
      <c r="F158" s="109" t="s">
        <v>201</v>
      </c>
      <c r="G158" s="109"/>
    </row>
    <row r="159" ht="14.25" customHeight="1">
      <c r="A159" s="109" t="s">
        <v>70</v>
      </c>
      <c r="B159" s="109"/>
      <c r="C159" s="109"/>
      <c r="D159" s="109"/>
      <c r="E159" s="110">
        <f>E157+E158</f>
        <v>5243.191899</v>
      </c>
      <c r="F159" s="109"/>
      <c r="G159" s="109"/>
    </row>
    <row r="160" ht="14.25" customHeight="1">
      <c r="A160" s="109" t="s">
        <v>71</v>
      </c>
      <c r="B160" s="109"/>
      <c r="C160" s="109"/>
      <c r="D160" s="109"/>
      <c r="E160" s="110">
        <f>IF(E162&gt;0,E162-E159,0)</f>
        <v>14756.8081</v>
      </c>
      <c r="F160" s="109"/>
      <c r="G160" s="109"/>
    </row>
    <row r="161" ht="14.25" customHeight="1">
      <c r="A161" s="53" t="s">
        <v>73</v>
      </c>
      <c r="B161" s="109"/>
      <c r="C161" s="109"/>
      <c r="D161" s="109"/>
      <c r="E161" s="111">
        <f>IFERROR(E159/E162,0)</f>
        <v>0.2621595949</v>
      </c>
      <c r="F161" s="109"/>
      <c r="G161" s="109"/>
    </row>
    <row r="162" ht="14.25" customHeight="1">
      <c r="A162" s="109" t="s">
        <v>11</v>
      </c>
      <c r="B162" s="109"/>
      <c r="C162" s="109"/>
      <c r="D162" s="109"/>
      <c r="E162" s="112">
        <v>20000.0</v>
      </c>
      <c r="F162" s="109"/>
      <c r="G162" s="109"/>
    </row>
    <row r="163" ht="14.25" customHeight="1"/>
    <row r="164" ht="14.25" customHeight="1">
      <c r="A164" s="105" t="s">
        <v>181</v>
      </c>
    </row>
    <row r="165" ht="14.25" customHeight="1">
      <c r="A165" s="106" t="s">
        <v>8</v>
      </c>
      <c r="B165" s="106" t="s">
        <v>10</v>
      </c>
      <c r="C165" s="106" t="s">
        <v>12</v>
      </c>
      <c r="D165" s="106" t="s">
        <v>13</v>
      </c>
      <c r="E165" s="106" t="s">
        <v>16</v>
      </c>
      <c r="F165" s="106" t="s">
        <v>17</v>
      </c>
      <c r="G165" s="106" t="s">
        <v>18</v>
      </c>
    </row>
    <row r="166" ht="14.25" customHeight="1">
      <c r="A166" s="107" t="s">
        <v>190</v>
      </c>
      <c r="B166" s="107" t="s">
        <v>22</v>
      </c>
      <c r="C166" s="108">
        <f>'WIP FOOD'!$B$150</f>
        <v>1131.091447</v>
      </c>
      <c r="D166" s="107">
        <v>1.0</v>
      </c>
      <c r="E166" s="108">
        <f t="shared" ref="E166:E173" si="10">IFERROR(C166*D166,0)</f>
        <v>1131.091447</v>
      </c>
      <c r="F166" s="107"/>
      <c r="G166" s="107"/>
    </row>
    <row r="167" ht="14.25" customHeight="1">
      <c r="A167" s="107" t="s">
        <v>221</v>
      </c>
      <c r="B167" s="107" t="s">
        <v>22</v>
      </c>
      <c r="C167" s="108">
        <f>'WIP FOOD'!$B$401</f>
        <v>41.78322519</v>
      </c>
      <c r="D167" s="107">
        <v>30.0</v>
      </c>
      <c r="E167" s="108">
        <f t="shared" si="10"/>
        <v>1253.496756</v>
      </c>
      <c r="F167" s="107"/>
      <c r="G167" s="107"/>
    </row>
    <row r="168" ht="14.25" customHeight="1">
      <c r="A168" s="107" t="s">
        <v>292</v>
      </c>
      <c r="B168" s="107" t="s">
        <v>24</v>
      </c>
      <c r="C168" s="108">
        <f>'WIP FOOD'!$B$587</f>
        <v>89.2798498</v>
      </c>
      <c r="D168" s="107">
        <v>30.0</v>
      </c>
      <c r="E168" s="108">
        <f t="shared" si="10"/>
        <v>2678.395494</v>
      </c>
      <c r="F168" s="107"/>
      <c r="G168" s="107"/>
    </row>
    <row r="169" ht="14.25" customHeight="1">
      <c r="A169" s="107"/>
      <c r="B169" s="107"/>
      <c r="C169" s="108">
        <f>IFERROR(VLOOKUP(A169,'Market List'!$B:$F,5,FALSE),0)</f>
        <v>0</v>
      </c>
      <c r="D169" s="107"/>
      <c r="E169" s="108">
        <f t="shared" si="10"/>
        <v>0</v>
      </c>
      <c r="F169" s="107"/>
      <c r="G169" s="107"/>
    </row>
    <row r="170" ht="14.25" customHeight="1">
      <c r="A170" s="107"/>
      <c r="B170" s="107"/>
      <c r="C170" s="108">
        <f>IFERROR(VLOOKUP(A170,'Market List'!$B:$F,5,FALSE),0)</f>
        <v>0</v>
      </c>
      <c r="D170" s="107"/>
      <c r="E170" s="108">
        <f t="shared" si="10"/>
        <v>0</v>
      </c>
      <c r="F170" s="107"/>
      <c r="G170" s="107"/>
    </row>
    <row r="171" ht="14.25" customHeight="1">
      <c r="A171" s="107"/>
      <c r="B171" s="107"/>
      <c r="C171" s="108">
        <f>IFERROR(VLOOKUP(A171,'Market List'!$B:$F,5,FALSE),0)</f>
        <v>0</v>
      </c>
      <c r="D171" s="107"/>
      <c r="E171" s="108">
        <f t="shared" si="10"/>
        <v>0</v>
      </c>
      <c r="F171" s="107"/>
      <c r="G171" s="107"/>
    </row>
    <row r="172" ht="14.25" customHeight="1">
      <c r="A172" s="107"/>
      <c r="B172" s="107"/>
      <c r="C172" s="108">
        <f>IFERROR(VLOOKUP(A172,'Market List'!$B:$F,5,FALSE),0)</f>
        <v>0</v>
      </c>
      <c r="D172" s="107"/>
      <c r="E172" s="108">
        <f t="shared" si="10"/>
        <v>0</v>
      </c>
      <c r="F172" s="107"/>
      <c r="G172" s="107"/>
    </row>
    <row r="173" ht="14.25" customHeight="1">
      <c r="A173" s="107"/>
      <c r="B173" s="107"/>
      <c r="C173" s="108">
        <f>IFERROR(VLOOKUP(A173,'Market List'!$B:$F,5,FALSE),0)</f>
        <v>0</v>
      </c>
      <c r="D173" s="107"/>
      <c r="E173" s="108">
        <f t="shared" si="10"/>
        <v>0</v>
      </c>
      <c r="F173" s="107"/>
      <c r="G173" s="107"/>
    </row>
    <row r="174" ht="14.25" customHeight="1">
      <c r="A174" s="107" t="s">
        <v>62</v>
      </c>
      <c r="B174" s="107"/>
      <c r="C174" s="107"/>
      <c r="D174" s="107"/>
      <c r="E174" s="108">
        <v>0.0</v>
      </c>
      <c r="F174" s="107"/>
      <c r="G174" s="107"/>
    </row>
    <row r="175" ht="14.25" customHeight="1">
      <c r="A175" s="109" t="s">
        <v>64</v>
      </c>
      <c r="B175" s="109"/>
      <c r="C175" s="109"/>
      <c r="D175" s="109"/>
      <c r="E175" s="110">
        <f>SUM(E166:E174)</f>
        <v>5062.983697</v>
      </c>
      <c r="F175" s="109" t="s">
        <v>199</v>
      </c>
      <c r="G175" s="109"/>
    </row>
    <row r="176" ht="14.25" customHeight="1">
      <c r="A176" s="109" t="s">
        <v>67</v>
      </c>
      <c r="B176" s="109"/>
      <c r="C176" s="109"/>
      <c r="D176" s="109"/>
      <c r="E176" s="110">
        <f>E175*15%</f>
        <v>759.4475545</v>
      </c>
      <c r="F176" s="109" t="s">
        <v>201</v>
      </c>
      <c r="G176" s="109"/>
    </row>
    <row r="177" ht="14.25" customHeight="1">
      <c r="A177" s="109" t="s">
        <v>70</v>
      </c>
      <c r="B177" s="109"/>
      <c r="C177" s="109"/>
      <c r="D177" s="109"/>
      <c r="E177" s="110">
        <f>E175+E176</f>
        <v>5822.431251</v>
      </c>
      <c r="F177" s="109"/>
      <c r="G177" s="109"/>
    </row>
    <row r="178" ht="14.25" customHeight="1">
      <c r="A178" s="109" t="s">
        <v>71</v>
      </c>
      <c r="B178" s="109"/>
      <c r="C178" s="109"/>
      <c r="D178" s="109"/>
      <c r="E178" s="110">
        <f>IF(E180&gt;0,E180-E177,0)</f>
        <v>14177.56875</v>
      </c>
      <c r="F178" s="109"/>
      <c r="G178" s="109"/>
    </row>
    <row r="179" ht="14.25" customHeight="1">
      <c r="A179" s="53" t="s">
        <v>73</v>
      </c>
      <c r="B179" s="109"/>
      <c r="C179" s="109"/>
      <c r="D179" s="109"/>
      <c r="E179" s="111">
        <f>IFERROR(E177/E180,0)</f>
        <v>0.2911215626</v>
      </c>
      <c r="F179" s="109"/>
      <c r="G179" s="109"/>
    </row>
    <row r="180" ht="14.25" customHeight="1">
      <c r="A180" s="109" t="s">
        <v>11</v>
      </c>
      <c r="B180" s="109"/>
      <c r="C180" s="109"/>
      <c r="D180" s="109"/>
      <c r="E180" s="112">
        <v>20000.0</v>
      </c>
      <c r="F180" s="109"/>
      <c r="G180" s="109"/>
    </row>
    <row r="181" ht="14.25" customHeight="1"/>
    <row r="182" ht="14.25" customHeight="1">
      <c r="A182" s="105" t="s">
        <v>183</v>
      </c>
    </row>
    <row r="183" ht="14.25" customHeight="1">
      <c r="A183" s="106" t="s">
        <v>8</v>
      </c>
      <c r="B183" s="106" t="s">
        <v>10</v>
      </c>
      <c r="C183" s="106" t="s">
        <v>12</v>
      </c>
      <c r="D183" s="106" t="s">
        <v>13</v>
      </c>
      <c r="E183" s="106" t="s">
        <v>16</v>
      </c>
      <c r="F183" s="106" t="s">
        <v>17</v>
      </c>
      <c r="G183" s="106" t="s">
        <v>18</v>
      </c>
    </row>
    <row r="184" ht="14.25" customHeight="1">
      <c r="A184" s="107" t="s">
        <v>305</v>
      </c>
      <c r="B184" s="107" t="s">
        <v>22</v>
      </c>
      <c r="C184" s="108">
        <f>'WIP FOOD'!$B$472</f>
        <v>1099.355263</v>
      </c>
      <c r="D184" s="107">
        <v>1.0</v>
      </c>
      <c r="E184" s="108">
        <f t="shared" ref="E184:E191" si="11">IFERROR(C184*D184,0)</f>
        <v>1099.355263</v>
      </c>
      <c r="F184" s="107"/>
      <c r="G184" s="107"/>
    </row>
    <row r="185" ht="14.25" customHeight="1">
      <c r="A185" s="107" t="s">
        <v>307</v>
      </c>
      <c r="B185" s="107"/>
      <c r="C185" s="108">
        <f>IFERROR(VLOOKUP(A185,'Market List'!$B:$F,5,FALSE),0)</f>
        <v>115</v>
      </c>
      <c r="D185" s="107">
        <v>12.0</v>
      </c>
      <c r="E185" s="108">
        <f t="shared" si="11"/>
        <v>1380</v>
      </c>
      <c r="F185" s="107"/>
      <c r="G185" s="107"/>
    </row>
    <row r="186" ht="14.25" customHeight="1">
      <c r="A186" s="107"/>
      <c r="B186" s="107"/>
      <c r="C186" s="108">
        <f>IFERROR(VLOOKUP(A186,'Market List'!$B:$F,5,FALSE),0)</f>
        <v>0</v>
      </c>
      <c r="D186" s="107"/>
      <c r="E186" s="108">
        <f t="shared" si="11"/>
        <v>0</v>
      </c>
      <c r="F186" s="107"/>
      <c r="G186" s="107"/>
    </row>
    <row r="187" ht="14.25" customHeight="1">
      <c r="A187" s="107"/>
      <c r="B187" s="107"/>
      <c r="C187" s="108">
        <f>IFERROR(VLOOKUP(A187,'Market List'!$B:$F,5,FALSE),0)</f>
        <v>0</v>
      </c>
      <c r="D187" s="107"/>
      <c r="E187" s="108">
        <f t="shared" si="11"/>
        <v>0</v>
      </c>
      <c r="F187" s="107"/>
      <c r="G187" s="107"/>
    </row>
    <row r="188" ht="14.25" customHeight="1">
      <c r="A188" s="107"/>
      <c r="B188" s="107"/>
      <c r="C188" s="108">
        <f>IFERROR(VLOOKUP(A188,'Market List'!$B:$F,5,FALSE),0)</f>
        <v>0</v>
      </c>
      <c r="D188" s="107"/>
      <c r="E188" s="108">
        <f t="shared" si="11"/>
        <v>0</v>
      </c>
      <c r="F188" s="107"/>
      <c r="G188" s="107"/>
    </row>
    <row r="189" ht="14.25" customHeight="1">
      <c r="A189" s="107"/>
      <c r="B189" s="107"/>
      <c r="C189" s="108">
        <f>IFERROR(VLOOKUP(A189,'Market List'!$B:$F,5,FALSE),0)</f>
        <v>0</v>
      </c>
      <c r="D189" s="107"/>
      <c r="E189" s="108">
        <f t="shared" si="11"/>
        <v>0</v>
      </c>
      <c r="F189" s="107"/>
      <c r="G189" s="107"/>
    </row>
    <row r="190" ht="14.25" customHeight="1">
      <c r="A190" s="107"/>
      <c r="B190" s="107"/>
      <c r="C190" s="108">
        <f>IFERROR(VLOOKUP(A190,'Market List'!$B:$F,5,FALSE),0)</f>
        <v>0</v>
      </c>
      <c r="D190" s="107"/>
      <c r="E190" s="108">
        <f t="shared" si="11"/>
        <v>0</v>
      </c>
      <c r="F190" s="107"/>
      <c r="G190" s="107"/>
    </row>
    <row r="191" ht="14.25" customHeight="1">
      <c r="A191" s="107"/>
      <c r="B191" s="107"/>
      <c r="C191" s="108">
        <f>IFERROR(VLOOKUP(A191,'Market List'!$B:$F,5,FALSE),0)</f>
        <v>0</v>
      </c>
      <c r="D191" s="107"/>
      <c r="E191" s="108">
        <f t="shared" si="11"/>
        <v>0</v>
      </c>
      <c r="F191" s="107"/>
      <c r="G191" s="107"/>
    </row>
    <row r="192" ht="14.25" customHeight="1">
      <c r="A192" s="107" t="s">
        <v>62</v>
      </c>
      <c r="B192" s="107"/>
      <c r="C192" s="107"/>
      <c r="D192" s="107"/>
      <c r="E192" s="108">
        <v>0.0</v>
      </c>
      <c r="F192" s="107"/>
      <c r="G192" s="107"/>
    </row>
    <row r="193" ht="14.25" customHeight="1">
      <c r="A193" s="109" t="s">
        <v>64</v>
      </c>
      <c r="B193" s="109"/>
      <c r="C193" s="109"/>
      <c r="D193" s="109"/>
      <c r="E193" s="110">
        <f>SUM(E184:E192)</f>
        <v>2479.355263</v>
      </c>
      <c r="F193" s="109" t="s">
        <v>199</v>
      </c>
      <c r="G193" s="109"/>
    </row>
    <row r="194" ht="14.25" customHeight="1">
      <c r="A194" s="109" t="s">
        <v>67</v>
      </c>
      <c r="B194" s="109"/>
      <c r="C194" s="109"/>
      <c r="D194" s="109"/>
      <c r="E194" s="110">
        <f>E193*15%</f>
        <v>371.9032895</v>
      </c>
      <c r="F194" s="109" t="s">
        <v>201</v>
      </c>
      <c r="G194" s="109"/>
    </row>
    <row r="195" ht="14.25" customHeight="1">
      <c r="A195" s="109" t="s">
        <v>70</v>
      </c>
      <c r="B195" s="109"/>
      <c r="C195" s="109"/>
      <c r="D195" s="109"/>
      <c r="E195" s="110">
        <f>E193+E194</f>
        <v>2851.258553</v>
      </c>
      <c r="F195" s="109"/>
      <c r="G195" s="109"/>
    </row>
    <row r="196" ht="14.25" customHeight="1">
      <c r="A196" s="109" t="s">
        <v>71</v>
      </c>
      <c r="B196" s="109"/>
      <c r="C196" s="109"/>
      <c r="D196" s="109"/>
      <c r="E196" s="110">
        <f>IF(E198&gt;0,E198-E195,0)</f>
        <v>12148.74145</v>
      </c>
      <c r="F196" s="109"/>
      <c r="G196" s="109"/>
    </row>
    <row r="197" ht="14.25" customHeight="1">
      <c r="A197" s="53" t="s">
        <v>73</v>
      </c>
      <c r="B197" s="109"/>
      <c r="C197" s="109"/>
      <c r="D197" s="109"/>
      <c r="E197" s="111">
        <f>IFERROR(E195/E198,0)</f>
        <v>0.1900839035</v>
      </c>
      <c r="F197" s="109"/>
      <c r="G197" s="109"/>
    </row>
    <row r="198" ht="14.25" customHeight="1">
      <c r="A198" s="109" t="s">
        <v>11</v>
      </c>
      <c r="B198" s="109"/>
      <c r="C198" s="109"/>
      <c r="D198" s="109"/>
      <c r="E198" s="112">
        <v>15000.0</v>
      </c>
      <c r="F198" s="109"/>
      <c r="G198" s="109"/>
    </row>
    <row r="199" ht="14.25" customHeight="1"/>
    <row r="200" ht="14.25" customHeight="1">
      <c r="A200" s="105" t="s">
        <v>186</v>
      </c>
    </row>
    <row r="201" ht="14.25" customHeight="1">
      <c r="A201" s="106" t="s">
        <v>8</v>
      </c>
      <c r="B201" s="106" t="s">
        <v>10</v>
      </c>
      <c r="C201" s="106" t="s">
        <v>12</v>
      </c>
      <c r="D201" s="106" t="s">
        <v>13</v>
      </c>
      <c r="E201" s="106" t="s">
        <v>16</v>
      </c>
      <c r="F201" s="106" t="s">
        <v>17</v>
      </c>
      <c r="G201" s="106" t="s">
        <v>18</v>
      </c>
    </row>
    <row r="202" ht="14.25" customHeight="1">
      <c r="A202" s="107" t="s">
        <v>305</v>
      </c>
      <c r="B202" s="107" t="s">
        <v>22</v>
      </c>
      <c r="C202" s="108">
        <f>'WIP FOOD'!$B$472</f>
        <v>1099.355263</v>
      </c>
      <c r="D202" s="107">
        <v>1.0</v>
      </c>
      <c r="E202" s="108">
        <f t="shared" ref="E202:E209" si="12">IFERROR(C202*D202,0)</f>
        <v>1099.355263</v>
      </c>
      <c r="F202" s="107"/>
      <c r="G202" s="107"/>
    </row>
    <row r="203" ht="14.25" customHeight="1">
      <c r="A203" s="107" t="s">
        <v>53</v>
      </c>
      <c r="B203" s="107" t="s">
        <v>24</v>
      </c>
      <c r="C203" s="108">
        <f>'WIP FOOD'!$B$218</f>
        <v>362.7209213</v>
      </c>
      <c r="D203" s="107">
        <v>2.0</v>
      </c>
      <c r="E203" s="108">
        <f t="shared" si="12"/>
        <v>725.4418426</v>
      </c>
      <c r="F203" s="107"/>
      <c r="G203" s="107"/>
    </row>
    <row r="204" ht="14.25" customHeight="1">
      <c r="A204" s="107" t="s">
        <v>320</v>
      </c>
      <c r="B204" s="107" t="s">
        <v>24</v>
      </c>
      <c r="C204" s="108">
        <f>'WIP FOOD'!$B$62</f>
        <v>89.06203572</v>
      </c>
      <c r="D204" s="107">
        <v>55.0</v>
      </c>
      <c r="E204" s="108">
        <f t="shared" si="12"/>
        <v>4898.411965</v>
      </c>
      <c r="F204" s="107"/>
      <c r="G204" s="107"/>
    </row>
    <row r="205" ht="14.25" customHeight="1">
      <c r="A205" s="107"/>
      <c r="B205" s="107"/>
      <c r="C205" s="108">
        <f>IFERROR(VLOOKUP(A205,'Market List'!$B:$F,5,FALSE),0)</f>
        <v>0</v>
      </c>
      <c r="D205" s="107"/>
      <c r="E205" s="108">
        <f t="shared" si="12"/>
        <v>0</v>
      </c>
      <c r="F205" s="107"/>
      <c r="G205" s="107"/>
    </row>
    <row r="206" ht="14.25" customHeight="1">
      <c r="A206" s="107"/>
      <c r="B206" s="107"/>
      <c r="C206" s="108">
        <f>IFERROR(VLOOKUP(A206,'Market List'!$B:$F,5,FALSE),0)</f>
        <v>0</v>
      </c>
      <c r="D206" s="107"/>
      <c r="E206" s="108">
        <f t="shared" si="12"/>
        <v>0</v>
      </c>
      <c r="F206" s="107"/>
      <c r="G206" s="107"/>
    </row>
    <row r="207" ht="14.25" customHeight="1">
      <c r="A207" s="107"/>
      <c r="B207" s="107"/>
      <c r="C207" s="108">
        <f>IFERROR(VLOOKUP(A207,'Market List'!$B:$F,5,FALSE),0)</f>
        <v>0</v>
      </c>
      <c r="D207" s="107"/>
      <c r="E207" s="108">
        <f t="shared" si="12"/>
        <v>0</v>
      </c>
      <c r="F207" s="107"/>
      <c r="G207" s="107"/>
    </row>
    <row r="208" ht="14.25" customHeight="1">
      <c r="A208" s="107"/>
      <c r="B208" s="107"/>
      <c r="C208" s="108">
        <f>IFERROR(VLOOKUP(A208,'Market List'!$B:$F,5,FALSE),0)</f>
        <v>0</v>
      </c>
      <c r="D208" s="107"/>
      <c r="E208" s="108">
        <f t="shared" si="12"/>
        <v>0</v>
      </c>
      <c r="F208" s="107"/>
      <c r="G208" s="107"/>
    </row>
    <row r="209" ht="14.25" customHeight="1">
      <c r="A209" s="107"/>
      <c r="B209" s="107"/>
      <c r="C209" s="108">
        <f>IFERROR(VLOOKUP(A209,'Market List'!$B:$F,5,FALSE),0)</f>
        <v>0</v>
      </c>
      <c r="D209" s="107"/>
      <c r="E209" s="108">
        <f t="shared" si="12"/>
        <v>0</v>
      </c>
      <c r="F209" s="107"/>
      <c r="G209" s="107"/>
    </row>
    <row r="210" ht="14.25" customHeight="1">
      <c r="A210" s="107" t="s">
        <v>62</v>
      </c>
      <c r="B210" s="107"/>
      <c r="C210" s="107"/>
      <c r="D210" s="107"/>
      <c r="E210" s="108">
        <v>0.0</v>
      </c>
      <c r="F210" s="107"/>
      <c r="G210" s="107"/>
    </row>
    <row r="211" ht="14.25" customHeight="1">
      <c r="A211" s="109" t="s">
        <v>64</v>
      </c>
      <c r="B211" s="109"/>
      <c r="C211" s="109"/>
      <c r="D211" s="109"/>
      <c r="E211" s="110">
        <f>SUM(E202:E210)</f>
        <v>6723.20907</v>
      </c>
      <c r="F211" s="109" t="s">
        <v>199</v>
      </c>
      <c r="G211" s="109"/>
    </row>
    <row r="212" ht="14.25" customHeight="1">
      <c r="A212" s="109" t="s">
        <v>67</v>
      </c>
      <c r="B212" s="109"/>
      <c r="C212" s="109"/>
      <c r="D212" s="109"/>
      <c r="E212" s="110">
        <f>E211*15%</f>
        <v>1008.481361</v>
      </c>
      <c r="F212" s="109" t="s">
        <v>201</v>
      </c>
      <c r="G212" s="109"/>
    </row>
    <row r="213" ht="14.25" customHeight="1">
      <c r="A213" s="109" t="s">
        <v>70</v>
      </c>
      <c r="B213" s="109"/>
      <c r="C213" s="109"/>
      <c r="D213" s="109"/>
      <c r="E213" s="110">
        <f>E211+E212</f>
        <v>7731.690431</v>
      </c>
      <c r="F213" s="109"/>
      <c r="G213" s="109"/>
    </row>
    <row r="214" ht="14.25" customHeight="1">
      <c r="A214" s="109" t="s">
        <v>71</v>
      </c>
      <c r="B214" s="109"/>
      <c r="C214" s="109"/>
      <c r="D214" s="109"/>
      <c r="E214" s="110">
        <f>IF(E216&gt;0,E216-E213,0)</f>
        <v>7268.309569</v>
      </c>
      <c r="F214" s="109"/>
      <c r="G214" s="109"/>
    </row>
    <row r="215" ht="14.25" customHeight="1">
      <c r="A215" s="53" t="s">
        <v>73</v>
      </c>
      <c r="B215" s="109"/>
      <c r="C215" s="109"/>
      <c r="D215" s="109"/>
      <c r="E215" s="111">
        <f>IFERROR(E213/E216,0)</f>
        <v>0.5154460287</v>
      </c>
      <c r="F215" s="109"/>
      <c r="G215" s="109"/>
    </row>
    <row r="216" ht="14.25" customHeight="1">
      <c r="A216" s="109" t="s">
        <v>11</v>
      </c>
      <c r="B216" s="109"/>
      <c r="C216" s="109"/>
      <c r="D216" s="109"/>
      <c r="E216" s="112">
        <v>15000.0</v>
      </c>
      <c r="F216" s="109"/>
      <c r="G216" s="109"/>
    </row>
    <row r="217" ht="14.25" customHeight="1"/>
    <row r="218" ht="14.25" customHeight="1">
      <c r="A218" s="105" t="s">
        <v>188</v>
      </c>
    </row>
    <row r="219" ht="14.25" customHeight="1">
      <c r="A219" s="106" t="s">
        <v>8</v>
      </c>
      <c r="B219" s="106" t="s">
        <v>10</v>
      </c>
      <c r="C219" s="106" t="s">
        <v>12</v>
      </c>
      <c r="D219" s="106" t="s">
        <v>13</v>
      </c>
      <c r="E219" s="106" t="s">
        <v>16</v>
      </c>
      <c r="F219" s="106" t="s">
        <v>17</v>
      </c>
      <c r="G219" s="106" t="s">
        <v>18</v>
      </c>
    </row>
    <row r="220" ht="14.25" customHeight="1">
      <c r="A220" s="107" t="s">
        <v>305</v>
      </c>
      <c r="B220" s="107" t="s">
        <v>22</v>
      </c>
      <c r="C220" s="108">
        <f>'WIP FOOD'!$B$472</f>
        <v>1099.355263</v>
      </c>
      <c r="D220" s="107">
        <v>1.0</v>
      </c>
      <c r="E220" s="108">
        <f t="shared" ref="E220:E227" si="13">IFERROR(C220*D220,0)</f>
        <v>1099.355263</v>
      </c>
      <c r="F220" s="107"/>
      <c r="G220" s="107"/>
    </row>
    <row r="221" ht="14.25" customHeight="1">
      <c r="A221" s="107" t="s">
        <v>216</v>
      </c>
      <c r="B221" s="107" t="s">
        <v>24</v>
      </c>
      <c r="C221" s="108">
        <f>'WIP FOOD'!$B$207</f>
        <v>45.45739175</v>
      </c>
      <c r="D221" s="107">
        <v>55.0</v>
      </c>
      <c r="E221" s="108">
        <f t="shared" si="13"/>
        <v>2500.156546</v>
      </c>
      <c r="F221" s="107"/>
      <c r="G221" s="107"/>
    </row>
    <row r="222" ht="14.25" customHeight="1">
      <c r="A222" s="107"/>
      <c r="B222" s="107"/>
      <c r="C222" s="108">
        <f>IFERROR(VLOOKUP(A222,'Market List'!$B:$F,5,FALSE),0)</f>
        <v>0</v>
      </c>
      <c r="D222" s="107"/>
      <c r="E222" s="108">
        <f t="shared" si="13"/>
        <v>0</v>
      </c>
      <c r="F222" s="107"/>
      <c r="G222" s="107"/>
    </row>
    <row r="223" ht="14.25" customHeight="1">
      <c r="A223" s="107"/>
      <c r="B223" s="107"/>
      <c r="C223" s="108">
        <f>IFERROR(VLOOKUP(A223,'Market List'!$B:$F,5,FALSE),0)</f>
        <v>0</v>
      </c>
      <c r="D223" s="107"/>
      <c r="E223" s="108">
        <f t="shared" si="13"/>
        <v>0</v>
      </c>
      <c r="F223" s="107"/>
      <c r="G223" s="107"/>
    </row>
    <row r="224" ht="14.25" customHeight="1">
      <c r="A224" s="107"/>
      <c r="B224" s="107"/>
      <c r="C224" s="108">
        <f>IFERROR(VLOOKUP(A224,'Market List'!$B:$F,5,FALSE),0)</f>
        <v>0</v>
      </c>
      <c r="D224" s="107"/>
      <c r="E224" s="108">
        <f t="shared" si="13"/>
        <v>0</v>
      </c>
      <c r="F224" s="107"/>
      <c r="G224" s="107"/>
    </row>
    <row r="225" ht="14.25" customHeight="1">
      <c r="A225" s="107"/>
      <c r="B225" s="107"/>
      <c r="C225" s="108">
        <f>IFERROR(VLOOKUP(A225,'Market List'!$B:$F,5,FALSE),0)</f>
        <v>0</v>
      </c>
      <c r="D225" s="107"/>
      <c r="E225" s="108">
        <f t="shared" si="13"/>
        <v>0</v>
      </c>
      <c r="F225" s="107"/>
      <c r="G225" s="107"/>
    </row>
    <row r="226" ht="14.25" customHeight="1">
      <c r="A226" s="107"/>
      <c r="B226" s="107"/>
      <c r="C226" s="108">
        <f>IFERROR(VLOOKUP(A226,'Market List'!$B:$F,5,FALSE),0)</f>
        <v>0</v>
      </c>
      <c r="D226" s="107"/>
      <c r="E226" s="108">
        <f t="shared" si="13"/>
        <v>0</v>
      </c>
      <c r="F226" s="107"/>
      <c r="G226" s="107"/>
    </row>
    <row r="227" ht="14.25" customHeight="1">
      <c r="A227" s="107"/>
      <c r="B227" s="107"/>
      <c r="C227" s="108">
        <f>IFERROR(VLOOKUP(A227,'Market List'!$B:$F,5,FALSE),0)</f>
        <v>0</v>
      </c>
      <c r="D227" s="107"/>
      <c r="E227" s="108">
        <f t="shared" si="13"/>
        <v>0</v>
      </c>
      <c r="F227" s="107"/>
      <c r="G227" s="107"/>
    </row>
    <row r="228" ht="14.25" customHeight="1">
      <c r="A228" s="107" t="s">
        <v>62</v>
      </c>
      <c r="B228" s="107"/>
      <c r="C228" s="107"/>
      <c r="D228" s="107"/>
      <c r="E228" s="108">
        <v>0.0</v>
      </c>
      <c r="F228" s="107"/>
      <c r="G228" s="107"/>
    </row>
    <row r="229" ht="14.25" customHeight="1">
      <c r="A229" s="109" t="s">
        <v>64</v>
      </c>
      <c r="B229" s="109"/>
      <c r="C229" s="109"/>
      <c r="D229" s="109"/>
      <c r="E229" s="110">
        <f>SUM(E220:E228)</f>
        <v>3599.51181</v>
      </c>
      <c r="F229" s="109" t="s">
        <v>199</v>
      </c>
      <c r="G229" s="109"/>
    </row>
    <row r="230" ht="14.25" customHeight="1">
      <c r="A230" s="109" t="s">
        <v>67</v>
      </c>
      <c r="B230" s="109"/>
      <c r="C230" s="109"/>
      <c r="D230" s="109"/>
      <c r="E230" s="110">
        <f>E229*15%</f>
        <v>539.9267714</v>
      </c>
      <c r="F230" s="109" t="s">
        <v>201</v>
      </c>
      <c r="G230" s="109"/>
    </row>
    <row r="231" ht="14.25" customHeight="1">
      <c r="A231" s="109" t="s">
        <v>70</v>
      </c>
      <c r="B231" s="109"/>
      <c r="C231" s="109"/>
      <c r="D231" s="109"/>
      <c r="E231" s="110">
        <f>E229+E230</f>
        <v>4139.438581</v>
      </c>
      <c r="F231" s="109"/>
      <c r="G231" s="109"/>
    </row>
    <row r="232" ht="14.25" customHeight="1">
      <c r="A232" s="109" t="s">
        <v>71</v>
      </c>
      <c r="B232" s="109"/>
      <c r="C232" s="109"/>
      <c r="D232" s="109"/>
      <c r="E232" s="110">
        <f>IF(E234&gt;0,E234-E231,0)</f>
        <v>10860.56142</v>
      </c>
      <c r="F232" s="109"/>
      <c r="G232" s="109"/>
    </row>
    <row r="233" ht="14.25" customHeight="1">
      <c r="A233" s="53" t="s">
        <v>73</v>
      </c>
      <c r="B233" s="109"/>
      <c r="C233" s="109"/>
      <c r="D233" s="109"/>
      <c r="E233" s="111">
        <f>IFERROR(E231/E234,0)</f>
        <v>0.2759625721</v>
      </c>
      <c r="F233" s="109"/>
      <c r="G233" s="109"/>
    </row>
    <row r="234" ht="14.25" customHeight="1">
      <c r="A234" s="109" t="s">
        <v>11</v>
      </c>
      <c r="B234" s="109"/>
      <c r="C234" s="109"/>
      <c r="D234" s="109"/>
      <c r="E234" s="112">
        <v>15000.0</v>
      </c>
      <c r="F234" s="109"/>
      <c r="G234" s="109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10:G110"/>
    <mergeCell ref="A128:G128"/>
    <mergeCell ref="A146:G146"/>
    <mergeCell ref="A164:G164"/>
    <mergeCell ref="A182:G182"/>
    <mergeCell ref="A200:G200"/>
    <mergeCell ref="A218:G218"/>
    <mergeCell ref="A1:G1"/>
    <mergeCell ref="A2:G2"/>
    <mergeCell ref="A20:G20"/>
    <mergeCell ref="A38:G38"/>
    <mergeCell ref="A56:G56"/>
    <mergeCell ref="A74:G74"/>
    <mergeCell ref="A92:G9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189</v>
      </c>
      <c r="B1" s="2"/>
      <c r="C1" s="2"/>
      <c r="D1" s="2"/>
      <c r="E1" s="2"/>
      <c r="F1" s="2"/>
      <c r="G1" s="3"/>
    </row>
    <row r="2">
      <c r="A2" s="4" t="s">
        <v>191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193</v>
      </c>
      <c r="B4" s="15" t="s">
        <v>22</v>
      </c>
      <c r="C4" s="17">
        <f>'WIP FOOD'!$B$51</f>
        <v>3998.774123</v>
      </c>
      <c r="D4" s="19">
        <v>75.0</v>
      </c>
      <c r="E4" s="17">
        <f t="shared" ref="E4:E11" si="1">IFERROR(C4*D4,0)</f>
        <v>299908.0592</v>
      </c>
      <c r="F4" s="15" t="s">
        <v>26</v>
      </c>
      <c r="G4" s="24"/>
    </row>
    <row r="5" ht="14.25" customHeight="1">
      <c r="A5" s="25" t="s">
        <v>195</v>
      </c>
      <c r="B5" s="26" t="s">
        <v>24</v>
      </c>
      <c r="C5" s="28">
        <f>IFERROR(VLOOKUP(A5,'Market List'!$B:$F,5,FALSE),0)</f>
        <v>0</v>
      </c>
      <c r="D5" s="30">
        <v>20.0</v>
      </c>
      <c r="E5" s="28">
        <f t="shared" si="1"/>
        <v>0</v>
      </c>
      <c r="F5" s="26"/>
      <c r="G5" s="32"/>
    </row>
    <row r="6" ht="14.25" customHeight="1">
      <c r="A6" s="25"/>
      <c r="B6" s="26"/>
      <c r="C6" s="28"/>
      <c r="D6" s="30"/>
      <c r="E6" s="28">
        <f t="shared" si="1"/>
        <v>0</v>
      </c>
      <c r="F6" s="26"/>
      <c r="G6" s="32"/>
    </row>
    <row r="7" ht="14.25" customHeight="1">
      <c r="A7" s="25"/>
      <c r="B7" s="26"/>
      <c r="C7" s="28"/>
      <c r="D7" s="30"/>
      <c r="E7" s="28">
        <f t="shared" si="1"/>
        <v>0</v>
      </c>
      <c r="F7" s="26"/>
      <c r="G7" s="32"/>
    </row>
    <row r="8" ht="14.25" customHeight="1">
      <c r="A8" s="25"/>
      <c r="B8" s="26"/>
      <c r="C8" s="28"/>
      <c r="D8" s="30"/>
      <c r="E8" s="28">
        <f t="shared" si="1"/>
        <v>0</v>
      </c>
      <c r="F8" s="26"/>
      <c r="G8" s="32"/>
    </row>
    <row r="9" ht="14.25" customHeight="1">
      <c r="A9" s="25"/>
      <c r="B9" s="26"/>
      <c r="C9" s="28"/>
      <c r="D9" s="30"/>
      <c r="E9" s="28">
        <f t="shared" si="1"/>
        <v>0</v>
      </c>
      <c r="F9" s="26"/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299908.0592</v>
      </c>
      <c r="F13" s="48" t="s">
        <v>74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44986.20888</v>
      </c>
      <c r="F14" s="48" t="s">
        <v>76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344894.2681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0</v>
      </c>
      <c r="F16" s="48"/>
      <c r="G16" s="52"/>
    </row>
    <row r="17" ht="14.25" customHeight="1">
      <c r="A17" s="53" t="s">
        <v>73</v>
      </c>
      <c r="B17" s="48"/>
      <c r="C17" s="48"/>
      <c r="D17" s="49"/>
      <c r="E17" s="56">
        <f>IFERROR(E15/E18,0)</f>
        <v>0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78"/>
      <c r="F18" s="48"/>
      <c r="G18" s="52"/>
    </row>
    <row r="19" ht="14.25" customHeight="1">
      <c r="D19" s="60"/>
    </row>
    <row r="20">
      <c r="A20" s="4" t="s">
        <v>204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84" t="s">
        <v>193</v>
      </c>
      <c r="B22" s="15" t="s">
        <v>22</v>
      </c>
      <c r="C22" s="17">
        <f>IFERROR(VLOOKUP(A22,'Market List'!$B:$F,5,FALSE),0)</f>
        <v>3998.774123</v>
      </c>
      <c r="D22" s="62">
        <v>1.0</v>
      </c>
      <c r="E22" s="17">
        <f t="shared" ref="E22:E29" si="2">IFERROR(C22*D22,0)</f>
        <v>3998.774123</v>
      </c>
      <c r="F22" s="15" t="s">
        <v>26</v>
      </c>
      <c r="G22" s="24"/>
    </row>
    <row r="23" ht="14.25" customHeight="1">
      <c r="A23" s="86" t="s">
        <v>212</v>
      </c>
      <c r="B23" s="26" t="s">
        <v>24</v>
      </c>
      <c r="C23" s="28">
        <f>IFERROR(VLOOKUP(A23,'Market List'!$B:$F,5,FALSE),0)</f>
        <v>1225.731863</v>
      </c>
      <c r="D23" s="88">
        <v>2.0</v>
      </c>
      <c r="E23" s="28">
        <f t="shared" si="2"/>
        <v>2451.463727</v>
      </c>
      <c r="F23" s="26"/>
      <c r="G23" s="32"/>
    </row>
    <row r="24" ht="14.25" customHeight="1">
      <c r="A24" s="25" t="s">
        <v>215</v>
      </c>
      <c r="B24" s="26" t="s">
        <v>59</v>
      </c>
      <c r="C24" s="28">
        <f>'WIP FOOD'!$B$411</f>
        <v>37.76748971</v>
      </c>
      <c r="D24" s="30">
        <v>15.0</v>
      </c>
      <c r="E24" s="28">
        <f t="shared" si="2"/>
        <v>566.5123457</v>
      </c>
      <c r="F24" s="26"/>
      <c r="G24" s="32"/>
    </row>
    <row r="25" ht="14.25" customHeight="1">
      <c r="A25" s="25" t="s">
        <v>216</v>
      </c>
      <c r="B25" s="26" t="s">
        <v>24</v>
      </c>
      <c r="C25" s="28">
        <f>'WIP FOOD'!$B$207</f>
        <v>45.45739175</v>
      </c>
      <c r="D25" s="30">
        <v>30.0</v>
      </c>
      <c r="E25" s="28">
        <f t="shared" si="2"/>
        <v>1363.721753</v>
      </c>
      <c r="F25" s="26"/>
      <c r="G25" s="32"/>
    </row>
    <row r="26" ht="14.25" customHeight="1">
      <c r="A26" s="25" t="s">
        <v>36</v>
      </c>
      <c r="B26" s="26" t="s">
        <v>24</v>
      </c>
      <c r="C26" s="28">
        <f>IFERROR(VLOOKUP(A26,'Market List'!$B:$F,5,FALSE),0)</f>
        <v>20</v>
      </c>
      <c r="D26" s="30">
        <v>3.0</v>
      </c>
      <c r="E26" s="28">
        <f t="shared" si="2"/>
        <v>60</v>
      </c>
      <c r="F26" s="26"/>
      <c r="G26" s="32"/>
    </row>
    <row r="27" ht="14.25" customHeight="1">
      <c r="A27" s="25"/>
      <c r="B27" s="26"/>
      <c r="C27" s="28"/>
      <c r="D27" s="30"/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8440.471948</v>
      </c>
      <c r="F31" s="48" t="s">
        <v>74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1266.070792</v>
      </c>
      <c r="F32" s="48" t="s">
        <v>76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9706.54274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0</v>
      </c>
      <c r="F34" s="48"/>
      <c r="G34" s="52"/>
    </row>
    <row r="35" ht="14.25" customHeight="1">
      <c r="A35" s="53" t="s">
        <v>73</v>
      </c>
      <c r="B35" s="48"/>
      <c r="C35" s="48"/>
      <c r="D35" s="49"/>
      <c r="E35" s="56">
        <f>IFERROR(E33/E36,0)</f>
        <v>0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78"/>
      <c r="F36" s="48"/>
      <c r="G36" s="52"/>
    </row>
    <row r="37" ht="14.25" customHeight="1">
      <c r="D37" s="60"/>
    </row>
    <row r="38">
      <c r="A38" s="4" t="s">
        <v>206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 t="s">
        <v>226</v>
      </c>
      <c r="B40" s="15" t="s">
        <v>22</v>
      </c>
      <c r="C40" s="17">
        <f>IFERROR(VLOOKUP(A40,'Market List'!$B:$F,5,FALSE),0)</f>
        <v>132</v>
      </c>
      <c r="D40" s="19">
        <v>15.0</v>
      </c>
      <c r="E40" s="17">
        <f t="shared" ref="E40:E47" si="3">IFERROR(C40*D40,0)</f>
        <v>1980</v>
      </c>
      <c r="F40" s="15" t="s">
        <v>26</v>
      </c>
      <c r="G40" s="24"/>
    </row>
    <row r="41" ht="14.25" customHeight="1">
      <c r="A41" s="25" t="s">
        <v>228</v>
      </c>
      <c r="B41" s="26" t="s">
        <v>24</v>
      </c>
      <c r="C41" s="28">
        <f>'WIP FOOD'!$B$288</f>
        <v>29.98463198</v>
      </c>
      <c r="D41" s="30">
        <v>10.0</v>
      </c>
      <c r="E41" s="28">
        <f t="shared" si="3"/>
        <v>299.8463198</v>
      </c>
      <c r="F41" s="26"/>
      <c r="G41" s="32"/>
    </row>
    <row r="42" ht="14.25" customHeight="1">
      <c r="A42" s="25" t="s">
        <v>231</v>
      </c>
      <c r="B42" s="26" t="s">
        <v>22</v>
      </c>
      <c r="C42" s="28">
        <f>'WIP FOOD'!$B$712</f>
        <v>2525.541551</v>
      </c>
      <c r="D42" s="88">
        <v>1.0</v>
      </c>
      <c r="E42" s="28">
        <f t="shared" si="3"/>
        <v>2525.541551</v>
      </c>
      <c r="F42" s="26"/>
      <c r="G42" s="32"/>
    </row>
    <row r="43" ht="14.25" customHeight="1">
      <c r="A43" s="25" t="s">
        <v>232</v>
      </c>
      <c r="B43" s="26" t="s">
        <v>24</v>
      </c>
      <c r="C43" s="28">
        <f>IFERROR(VLOOKUP(A43,'Market List'!$B:$F,5,FALSE),0)</f>
        <v>17.5</v>
      </c>
      <c r="D43" s="30">
        <v>10.0</v>
      </c>
      <c r="E43" s="28">
        <f t="shared" si="3"/>
        <v>175</v>
      </c>
      <c r="F43" s="26"/>
      <c r="G43" s="32"/>
    </row>
    <row r="44" ht="14.25" customHeight="1">
      <c r="A44" s="25" t="s">
        <v>234</v>
      </c>
      <c r="B44" s="26" t="s">
        <v>24</v>
      </c>
      <c r="C44" s="28">
        <f>IFERROR(VLOOKUP(A44,'Market List'!$B:$F,5,FALSE),0)</f>
        <v>91.05</v>
      </c>
      <c r="D44" s="30">
        <v>10.0</v>
      </c>
      <c r="E44" s="28">
        <f t="shared" si="3"/>
        <v>910.5</v>
      </c>
      <c r="F44" s="26"/>
      <c r="G44" s="32"/>
    </row>
    <row r="45" ht="14.25" customHeight="1">
      <c r="A45" s="25" t="s">
        <v>236</v>
      </c>
      <c r="B45" s="26"/>
      <c r="C45" s="28">
        <f>IFERROR(VLOOKUP(A45,'Market List'!$B:$F,5,FALSE),0)</f>
        <v>0</v>
      </c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5890.887871</v>
      </c>
      <c r="F49" s="48" t="s">
        <v>74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883.6331807</v>
      </c>
      <c r="F50" s="48" t="s">
        <v>76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6774.521052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0</v>
      </c>
      <c r="F52" s="48"/>
      <c r="G52" s="52"/>
    </row>
    <row r="53" ht="14.25" customHeight="1">
      <c r="A53" s="53" t="s">
        <v>73</v>
      </c>
      <c r="B53" s="48"/>
      <c r="C53" s="48"/>
      <c r="D53" s="49"/>
      <c r="E53" s="56">
        <f>IFERROR(E51/E54,0)</f>
        <v>0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78"/>
      <c r="F54" s="48"/>
      <c r="G54" s="52"/>
    </row>
    <row r="55" ht="14.25" customHeight="1">
      <c r="D55" s="60"/>
    </row>
    <row r="56">
      <c r="A56" s="4" t="s">
        <v>209</v>
      </c>
    </row>
    <row r="57" ht="14.25" customHeight="1">
      <c r="A57" s="6" t="s">
        <v>8</v>
      </c>
      <c r="B57" s="8" t="s">
        <v>10</v>
      </c>
      <c r="C57" s="8" t="s">
        <v>12</v>
      </c>
      <c r="D57" s="10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 t="s">
        <v>247</v>
      </c>
      <c r="B58" s="15" t="s">
        <v>22</v>
      </c>
      <c r="C58" s="17">
        <f>IFERROR(VLOOKUP(A58,'Market List'!$B:$F,5,FALSE),0)</f>
        <v>23616</v>
      </c>
      <c r="D58" s="62">
        <v>0.5</v>
      </c>
      <c r="E58" s="17">
        <f t="shared" ref="E58:E65" si="4">IFERROR(C58*D58,0)</f>
        <v>11808</v>
      </c>
      <c r="F58" s="15" t="s">
        <v>26</v>
      </c>
      <c r="G58" s="24"/>
    </row>
    <row r="59" ht="14.25" customHeight="1">
      <c r="A59" s="25" t="s">
        <v>231</v>
      </c>
      <c r="B59" s="26" t="s">
        <v>22</v>
      </c>
      <c r="C59" s="28">
        <f>'WIP FOOD'!$B$712</f>
        <v>2525.541551</v>
      </c>
      <c r="D59" s="88">
        <v>1.0</v>
      </c>
      <c r="E59" s="28">
        <f t="shared" si="4"/>
        <v>2525.541551</v>
      </c>
      <c r="F59" s="26"/>
      <c r="G59" s="32"/>
    </row>
    <row r="60" ht="14.25" customHeight="1">
      <c r="A60" s="25" t="s">
        <v>79</v>
      </c>
      <c r="B60" s="26" t="s">
        <v>59</v>
      </c>
      <c r="C60" s="28">
        <f>'WIP FOOD'!$B$362</f>
        <v>163.4154588</v>
      </c>
      <c r="D60" s="30">
        <v>10.0</v>
      </c>
      <c r="E60" s="28">
        <f t="shared" si="4"/>
        <v>1634.154588</v>
      </c>
      <c r="F60" s="26"/>
      <c r="G60" s="32"/>
    </row>
    <row r="61" ht="14.25" customHeight="1">
      <c r="A61" s="25" t="s">
        <v>234</v>
      </c>
      <c r="B61" s="26" t="s">
        <v>24</v>
      </c>
      <c r="C61" s="28">
        <f>IFERROR(VLOOKUP(A61,'Market List'!$B:$F,5,FALSE),0)</f>
        <v>91.05</v>
      </c>
      <c r="D61" s="30">
        <v>10.0</v>
      </c>
      <c r="E61" s="28">
        <f t="shared" si="4"/>
        <v>910.5</v>
      </c>
      <c r="F61" s="26"/>
      <c r="G61" s="32"/>
    </row>
    <row r="62" ht="14.25" customHeight="1">
      <c r="A62" s="25" t="s">
        <v>54</v>
      </c>
      <c r="B62" s="26" t="s">
        <v>24</v>
      </c>
      <c r="C62" s="28">
        <f>IFERROR(VLOOKUP(A62,'Market List'!$B:$F,5,FALSE),0)</f>
        <v>91.76</v>
      </c>
      <c r="D62" s="30">
        <v>5.0</v>
      </c>
      <c r="E62" s="28">
        <f t="shared" si="4"/>
        <v>458.8</v>
      </c>
      <c r="F62" s="26"/>
      <c r="G62" s="32"/>
    </row>
    <row r="63" ht="14.25" customHeight="1">
      <c r="A63" s="25"/>
      <c r="B63" s="26"/>
      <c r="C63" s="28"/>
      <c r="D63" s="30"/>
      <c r="E63" s="28">
        <f t="shared" si="4"/>
        <v>0</v>
      </c>
      <c r="F63" s="26"/>
      <c r="G63" s="32"/>
    </row>
    <row r="64" ht="14.25" customHeight="1">
      <c r="A64" s="25"/>
      <c r="B64" s="26"/>
      <c r="C64" s="28"/>
      <c r="D64" s="30"/>
      <c r="E64" s="28">
        <f t="shared" si="4"/>
        <v>0</v>
      </c>
      <c r="F64" s="26"/>
      <c r="G64" s="32"/>
    </row>
    <row r="65" ht="14.25" customHeight="1">
      <c r="A65" s="36"/>
      <c r="B65" s="37"/>
      <c r="C65" s="38"/>
      <c r="D65" s="39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5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49"/>
      <c r="E67" s="51">
        <f>SUM(E58:E66)</f>
        <v>17336.99614</v>
      </c>
      <c r="F67" s="48" t="s">
        <v>74</v>
      </c>
      <c r="G67" s="52"/>
    </row>
    <row r="68" ht="14.25" customHeight="1">
      <c r="A68" s="47" t="s">
        <v>67</v>
      </c>
      <c r="B68" s="48"/>
      <c r="C68" s="48"/>
      <c r="D68" s="49"/>
      <c r="E68" s="51">
        <f>E67*15%</f>
        <v>2600.549421</v>
      </c>
      <c r="F68" s="48" t="s">
        <v>76</v>
      </c>
      <c r="G68" s="52"/>
    </row>
    <row r="69" ht="14.25" customHeight="1">
      <c r="A69" s="47" t="s">
        <v>70</v>
      </c>
      <c r="B69" s="48"/>
      <c r="C69" s="48"/>
      <c r="D69" s="49"/>
      <c r="E69" s="51">
        <f>E67+E68</f>
        <v>19937.54556</v>
      </c>
      <c r="F69" s="48"/>
      <c r="G69" s="52"/>
    </row>
    <row r="70" ht="14.25" customHeight="1">
      <c r="A70" s="47" t="s">
        <v>71</v>
      </c>
      <c r="B70" s="48"/>
      <c r="C70" s="48"/>
      <c r="D70" s="49"/>
      <c r="E70" s="51">
        <f>IF(E72&gt;0,E72-E69,0)</f>
        <v>40062.45444</v>
      </c>
      <c r="F70" s="48"/>
      <c r="G70" s="52"/>
    </row>
    <row r="71" ht="14.25" customHeight="1">
      <c r="A71" s="53" t="s">
        <v>73</v>
      </c>
      <c r="B71" s="48"/>
      <c r="C71" s="48"/>
      <c r="D71" s="49"/>
      <c r="E71" s="56">
        <f>IFERROR(E69/E72,0)</f>
        <v>0.332292426</v>
      </c>
      <c r="F71" s="48"/>
      <c r="G71" s="52"/>
    </row>
    <row r="72" ht="14.25" customHeight="1">
      <c r="A72" s="47" t="s">
        <v>11</v>
      </c>
      <c r="B72" s="48"/>
      <c r="C72" s="48"/>
      <c r="D72" s="49"/>
      <c r="E72" s="58">
        <v>60000.0</v>
      </c>
      <c r="F72" s="48"/>
      <c r="G72" s="52"/>
    </row>
    <row r="73" ht="14.25" customHeight="1">
      <c r="D73" s="60"/>
    </row>
    <row r="74">
      <c r="A74" s="4" t="s">
        <v>209</v>
      </c>
    </row>
    <row r="75" ht="14.25" customHeight="1">
      <c r="A75" s="6" t="s">
        <v>8</v>
      </c>
      <c r="B75" s="8" t="s">
        <v>10</v>
      </c>
      <c r="C75" s="8" t="s">
        <v>12</v>
      </c>
      <c r="D75" s="10" t="s">
        <v>13</v>
      </c>
      <c r="E75" s="8" t="s">
        <v>16</v>
      </c>
      <c r="F75" s="8" t="s">
        <v>17</v>
      </c>
      <c r="G75" s="13" t="s">
        <v>18</v>
      </c>
    </row>
    <row r="76" ht="14.25" customHeight="1">
      <c r="A76" s="14"/>
      <c r="B76" s="15"/>
      <c r="C76" s="17"/>
      <c r="D76" s="19"/>
      <c r="E76" s="17">
        <f t="shared" ref="E76:E83" si="5">IFERROR(C76*D76,0)</f>
        <v>0</v>
      </c>
      <c r="F76" s="15" t="s">
        <v>26</v>
      </c>
      <c r="G76" s="24"/>
    </row>
    <row r="77" ht="14.25" customHeight="1">
      <c r="A77" s="25"/>
      <c r="B77" s="26"/>
      <c r="C77" s="28"/>
      <c r="D77" s="30"/>
      <c r="E77" s="28">
        <f t="shared" si="5"/>
        <v>0</v>
      </c>
      <c r="F77" s="26"/>
      <c r="G77" s="32"/>
    </row>
    <row r="78" ht="14.25" customHeight="1">
      <c r="A78" s="25"/>
      <c r="B78" s="26"/>
      <c r="C78" s="28"/>
      <c r="D78" s="30"/>
      <c r="E78" s="28">
        <f t="shared" si="5"/>
        <v>0</v>
      </c>
      <c r="F78" s="26"/>
      <c r="G78" s="32"/>
    </row>
    <row r="79" ht="14.25" customHeight="1">
      <c r="A79" s="25"/>
      <c r="B79" s="26"/>
      <c r="C79" s="28"/>
      <c r="D79" s="30"/>
      <c r="E79" s="28">
        <f t="shared" si="5"/>
        <v>0</v>
      </c>
      <c r="F79" s="26"/>
      <c r="G79" s="32"/>
    </row>
    <row r="80" ht="14.25" customHeight="1">
      <c r="A80" s="25"/>
      <c r="B80" s="26"/>
      <c r="C80" s="28"/>
      <c r="D80" s="30"/>
      <c r="E80" s="28">
        <f t="shared" si="5"/>
        <v>0</v>
      </c>
      <c r="F80" s="26"/>
      <c r="G80" s="32"/>
    </row>
    <row r="81" ht="14.25" customHeight="1">
      <c r="A81" s="25"/>
      <c r="B81" s="26"/>
      <c r="C81" s="28"/>
      <c r="D81" s="30"/>
      <c r="E81" s="28">
        <f t="shared" si="5"/>
        <v>0</v>
      </c>
      <c r="F81" s="26"/>
      <c r="G81" s="32"/>
    </row>
    <row r="82" ht="14.25" customHeight="1">
      <c r="A82" s="25"/>
      <c r="B82" s="26"/>
      <c r="C82" s="28"/>
      <c r="D82" s="30"/>
      <c r="E82" s="28">
        <f t="shared" si="5"/>
        <v>0</v>
      </c>
      <c r="F82" s="26"/>
      <c r="G82" s="32"/>
    </row>
    <row r="83" ht="14.25" customHeight="1">
      <c r="A83" s="36"/>
      <c r="B83" s="37"/>
      <c r="C83" s="38"/>
      <c r="D83" s="39"/>
      <c r="E83" s="38">
        <f t="shared" si="5"/>
        <v>0</v>
      </c>
      <c r="F83" s="37"/>
      <c r="G83" s="41"/>
    </row>
    <row r="84" ht="14.25" customHeight="1">
      <c r="A84" s="42" t="s">
        <v>62</v>
      </c>
      <c r="B84" s="43"/>
      <c r="C84" s="43"/>
      <c r="D84" s="45"/>
      <c r="E84" s="43">
        <v>0.0</v>
      </c>
      <c r="F84" s="43"/>
      <c r="G84" s="46"/>
    </row>
    <row r="85" ht="14.25" customHeight="1">
      <c r="A85" s="47" t="s">
        <v>64</v>
      </c>
      <c r="B85" s="48"/>
      <c r="C85" s="48"/>
      <c r="D85" s="49"/>
      <c r="E85" s="51">
        <f>SUM(E76:E84)</f>
        <v>0</v>
      </c>
      <c r="F85" s="48" t="s">
        <v>74</v>
      </c>
      <c r="G85" s="52"/>
    </row>
    <row r="86" ht="14.25" customHeight="1">
      <c r="A86" s="47" t="s">
        <v>67</v>
      </c>
      <c r="B86" s="48"/>
      <c r="C86" s="48"/>
      <c r="D86" s="49"/>
      <c r="E86" s="51">
        <f>E85*15%</f>
        <v>0</v>
      </c>
      <c r="F86" s="48" t="s">
        <v>76</v>
      </c>
      <c r="G86" s="52"/>
    </row>
    <row r="87" ht="14.25" customHeight="1">
      <c r="A87" s="47" t="s">
        <v>70</v>
      </c>
      <c r="B87" s="48"/>
      <c r="C87" s="48"/>
      <c r="D87" s="49"/>
      <c r="E87" s="51">
        <f>E85+E86</f>
        <v>0</v>
      </c>
      <c r="F87" s="48"/>
      <c r="G87" s="52"/>
    </row>
    <row r="88" ht="14.25" customHeight="1">
      <c r="A88" s="47" t="s">
        <v>71</v>
      </c>
      <c r="B88" s="48"/>
      <c r="C88" s="48"/>
      <c r="D88" s="49"/>
      <c r="E88" s="51">
        <f>IF(E90&gt;0,E90-E87,0)</f>
        <v>55000</v>
      </c>
      <c r="F88" s="48"/>
      <c r="G88" s="52"/>
    </row>
    <row r="89" ht="14.25" customHeight="1">
      <c r="A89" s="53" t="s">
        <v>73</v>
      </c>
      <c r="B89" s="48"/>
      <c r="C89" s="48"/>
      <c r="D89" s="49"/>
      <c r="E89" s="56">
        <f>IFERROR(E87/E90,0)</f>
        <v>0</v>
      </c>
      <c r="F89" s="48"/>
      <c r="G89" s="52"/>
    </row>
    <row r="90" ht="14.25" customHeight="1">
      <c r="A90" s="47" t="s">
        <v>11</v>
      </c>
      <c r="B90" s="48"/>
      <c r="C90" s="48"/>
      <c r="D90" s="49"/>
      <c r="E90" s="58">
        <v>55000.0</v>
      </c>
      <c r="F90" s="48"/>
      <c r="G90" s="52"/>
    </row>
    <row r="91" ht="14.25" customHeight="1">
      <c r="D91" s="60"/>
    </row>
    <row r="92">
      <c r="A92" s="4" t="s">
        <v>220</v>
      </c>
    </row>
    <row r="93" ht="14.25" customHeight="1">
      <c r="A93" s="6" t="s">
        <v>8</v>
      </c>
      <c r="B93" s="8" t="s">
        <v>10</v>
      </c>
      <c r="C93" s="8" t="s">
        <v>12</v>
      </c>
      <c r="D93" s="10" t="s">
        <v>13</v>
      </c>
      <c r="E93" s="8" t="s">
        <v>16</v>
      </c>
      <c r="F93" s="8" t="s">
        <v>17</v>
      </c>
      <c r="G93" s="13" t="s">
        <v>18</v>
      </c>
    </row>
    <row r="94" ht="14.25" customHeight="1">
      <c r="A94" s="14" t="s">
        <v>231</v>
      </c>
      <c r="B94" s="15" t="s">
        <v>22</v>
      </c>
      <c r="C94" s="17">
        <f>'WIP FOOD'!$B$712</f>
        <v>2525.541551</v>
      </c>
      <c r="D94" s="62">
        <v>1.0</v>
      </c>
      <c r="E94" s="17">
        <f t="shared" ref="E94:E101" si="6">IFERROR(C94*D94,0)</f>
        <v>2525.541551</v>
      </c>
      <c r="F94" s="15" t="s">
        <v>26</v>
      </c>
      <c r="G94" s="24"/>
    </row>
    <row r="95" ht="14.25" customHeight="1">
      <c r="A95" s="25" t="s">
        <v>159</v>
      </c>
      <c r="B95" s="26" t="s">
        <v>24</v>
      </c>
      <c r="C95" s="28">
        <f>IFERROR(VLOOKUP(A95,'Market List'!$B:$F,5,FALSE),0)</f>
        <v>0</v>
      </c>
      <c r="D95" s="30">
        <v>30.0</v>
      </c>
      <c r="E95" s="28">
        <f t="shared" si="6"/>
        <v>0</v>
      </c>
      <c r="F95" s="26"/>
      <c r="G95" s="32"/>
    </row>
    <row r="96" ht="14.25" customHeight="1">
      <c r="A96" s="25" t="s">
        <v>54</v>
      </c>
      <c r="B96" s="26" t="s">
        <v>24</v>
      </c>
      <c r="C96" s="28">
        <f>IFERROR(VLOOKUP(A96,'Market List'!$B:$F,5,FALSE),0)</f>
        <v>91.76</v>
      </c>
      <c r="D96" s="30">
        <v>5.0</v>
      </c>
      <c r="E96" s="28">
        <f t="shared" si="6"/>
        <v>458.8</v>
      </c>
      <c r="F96" s="26"/>
      <c r="G96" s="32"/>
    </row>
    <row r="97" ht="14.25" customHeight="1">
      <c r="A97" s="25" t="s">
        <v>265</v>
      </c>
      <c r="B97" s="26" t="s">
        <v>24</v>
      </c>
      <c r="C97" s="28">
        <f>IFERROR(VLOOKUP(A97,'Market List'!$B:$F,5,FALSE),0)</f>
        <v>51.019</v>
      </c>
      <c r="D97" s="30">
        <v>1.0</v>
      </c>
      <c r="E97" s="28">
        <f t="shared" si="6"/>
        <v>51.019</v>
      </c>
      <c r="F97" s="26"/>
      <c r="G97" s="32"/>
    </row>
    <row r="98" ht="14.25" customHeight="1">
      <c r="A98" s="25" t="s">
        <v>236</v>
      </c>
      <c r="B98" s="26"/>
      <c r="C98" s="28">
        <f>IFERROR(VLOOKUP(A98,'Market List'!$B:$F,5,FALSE),0)</f>
        <v>0</v>
      </c>
      <c r="D98" s="30"/>
      <c r="E98" s="28">
        <f t="shared" si="6"/>
        <v>0</v>
      </c>
      <c r="F98" s="26"/>
      <c r="G98" s="32"/>
    </row>
    <row r="99" ht="14.25" customHeight="1">
      <c r="A99" s="25"/>
      <c r="B99" s="26"/>
      <c r="C99" s="28"/>
      <c r="D99" s="30"/>
      <c r="E99" s="28">
        <f t="shared" si="6"/>
        <v>0</v>
      </c>
      <c r="F99" s="26"/>
      <c r="G99" s="32"/>
    </row>
    <row r="100" ht="14.25" customHeight="1">
      <c r="A100" s="25"/>
      <c r="B100" s="26"/>
      <c r="C100" s="28"/>
      <c r="D100" s="30"/>
      <c r="E100" s="28">
        <f t="shared" si="6"/>
        <v>0</v>
      </c>
      <c r="F100" s="26"/>
      <c r="G100" s="32"/>
    </row>
    <row r="101" ht="14.25" customHeight="1">
      <c r="A101" s="36"/>
      <c r="B101" s="37"/>
      <c r="C101" s="38"/>
      <c r="D101" s="39"/>
      <c r="E101" s="38">
        <f t="shared" si="6"/>
        <v>0</v>
      </c>
      <c r="F101" s="37"/>
      <c r="G101" s="41"/>
    </row>
    <row r="102" ht="14.25" customHeight="1">
      <c r="A102" s="42" t="s">
        <v>62</v>
      </c>
      <c r="B102" s="43"/>
      <c r="C102" s="43"/>
      <c r="D102" s="45"/>
      <c r="E102" s="43">
        <v>0.0</v>
      </c>
      <c r="F102" s="43"/>
      <c r="G102" s="46"/>
    </row>
    <row r="103" ht="14.25" customHeight="1">
      <c r="A103" s="47" t="s">
        <v>64</v>
      </c>
      <c r="B103" s="48"/>
      <c r="C103" s="48"/>
      <c r="D103" s="49"/>
      <c r="E103" s="51">
        <f>SUM(E94:E102)</f>
        <v>3035.360551</v>
      </c>
      <c r="F103" s="48" t="s">
        <v>74</v>
      </c>
      <c r="G103" s="52"/>
    </row>
    <row r="104" ht="14.25" customHeight="1">
      <c r="A104" s="47" t="s">
        <v>67</v>
      </c>
      <c r="B104" s="48"/>
      <c r="C104" s="48"/>
      <c r="D104" s="49"/>
      <c r="E104" s="51">
        <f>E103*15%</f>
        <v>455.3040827</v>
      </c>
      <c r="F104" s="48" t="s">
        <v>76</v>
      </c>
      <c r="G104" s="52"/>
    </row>
    <row r="105" ht="14.25" customHeight="1">
      <c r="A105" s="47" t="s">
        <v>70</v>
      </c>
      <c r="B105" s="48"/>
      <c r="C105" s="48"/>
      <c r="D105" s="49"/>
      <c r="E105" s="51">
        <f>E103+E104</f>
        <v>3490.664634</v>
      </c>
      <c r="F105" s="48"/>
      <c r="G105" s="52"/>
    </row>
    <row r="106" ht="14.25" customHeight="1">
      <c r="A106" s="47" t="s">
        <v>71</v>
      </c>
      <c r="B106" s="48"/>
      <c r="C106" s="48"/>
      <c r="D106" s="49"/>
      <c r="E106" s="51">
        <f>IF(E108&gt;0,E108-E105,0)</f>
        <v>46509.33537</v>
      </c>
      <c r="F106" s="48"/>
      <c r="G106" s="52"/>
    </row>
    <row r="107" ht="14.25" customHeight="1">
      <c r="A107" s="53" t="s">
        <v>73</v>
      </c>
      <c r="B107" s="48"/>
      <c r="C107" s="48"/>
      <c r="D107" s="49"/>
      <c r="E107" s="56">
        <f>IFERROR(E105/E108,0)</f>
        <v>0.06981329268</v>
      </c>
      <c r="F107" s="48"/>
      <c r="G107" s="52"/>
    </row>
    <row r="108" ht="14.25" customHeight="1">
      <c r="A108" s="47" t="s">
        <v>11</v>
      </c>
      <c r="B108" s="48"/>
      <c r="C108" s="48"/>
      <c r="D108" s="49"/>
      <c r="E108" s="58">
        <v>50000.0</v>
      </c>
      <c r="F108" s="48"/>
      <c r="G108" s="52"/>
    </row>
    <row r="109" ht="14.25" customHeight="1">
      <c r="D109" s="60"/>
    </row>
    <row r="110">
      <c r="A110" s="4" t="s">
        <v>224</v>
      </c>
    </row>
    <row r="111" ht="14.25" customHeight="1">
      <c r="A111" s="6" t="s">
        <v>8</v>
      </c>
      <c r="B111" s="8" t="s">
        <v>10</v>
      </c>
      <c r="C111" s="8" t="s">
        <v>12</v>
      </c>
      <c r="D111" s="10" t="s">
        <v>13</v>
      </c>
      <c r="E111" s="8" t="s">
        <v>16</v>
      </c>
      <c r="F111" s="8" t="s">
        <v>17</v>
      </c>
      <c r="G111" s="13" t="s">
        <v>18</v>
      </c>
    </row>
    <row r="112" ht="14.25" customHeight="1">
      <c r="A112" s="14" t="s">
        <v>275</v>
      </c>
      <c r="B112" s="15" t="s">
        <v>276</v>
      </c>
      <c r="C112" s="17">
        <f>'WIP FOOD'!$B$723</f>
        <v>2999.080592</v>
      </c>
      <c r="D112" s="19">
        <v>2.0</v>
      </c>
      <c r="E112" s="17">
        <f t="shared" ref="E112:E119" si="7">IFERROR(C112*D112,0)</f>
        <v>5998.161184</v>
      </c>
      <c r="F112" s="15" t="s">
        <v>26</v>
      </c>
      <c r="G112" s="24"/>
    </row>
    <row r="113" ht="14.25" customHeight="1">
      <c r="A113" s="25" t="s">
        <v>278</v>
      </c>
      <c r="B113" s="26" t="s">
        <v>24</v>
      </c>
      <c r="C113" s="28">
        <f>'WIP FOOD'!$B$191</f>
        <v>10658.2619</v>
      </c>
      <c r="D113" s="88">
        <v>1.0</v>
      </c>
      <c r="E113" s="28">
        <f t="shared" si="7"/>
        <v>10658.2619</v>
      </c>
      <c r="F113" s="26"/>
      <c r="G113" s="32"/>
    </row>
    <row r="114" ht="14.25" customHeight="1">
      <c r="A114" s="25" t="s">
        <v>53</v>
      </c>
      <c r="B114" s="26" t="s">
        <v>24</v>
      </c>
      <c r="C114" s="28">
        <f>'WIP FOOD'!$B$218</f>
        <v>362.7209213</v>
      </c>
      <c r="D114" s="30">
        <v>3.0</v>
      </c>
      <c r="E114" s="28">
        <f t="shared" si="7"/>
        <v>1088.162764</v>
      </c>
      <c r="F114" s="26"/>
      <c r="G114" s="32"/>
    </row>
    <row r="115" ht="14.25" customHeight="1">
      <c r="A115" s="25" t="s">
        <v>54</v>
      </c>
      <c r="B115" s="26" t="s">
        <v>24</v>
      </c>
      <c r="C115" s="28">
        <f>IFERROR(VLOOKUP(A115,'Market List'!$B:$F,5,FALSE),0)</f>
        <v>91.76</v>
      </c>
      <c r="D115" s="30">
        <v>5.0</v>
      </c>
      <c r="E115" s="28">
        <f t="shared" si="7"/>
        <v>458.8</v>
      </c>
      <c r="F115" s="26"/>
      <c r="G115" s="32"/>
    </row>
    <row r="116" ht="14.25" customHeight="1">
      <c r="A116" s="25"/>
      <c r="B116" s="26"/>
      <c r="C116" s="28"/>
      <c r="D116" s="30"/>
      <c r="E116" s="28">
        <f t="shared" si="7"/>
        <v>0</v>
      </c>
      <c r="F116" s="26"/>
      <c r="G116" s="32"/>
    </row>
    <row r="117" ht="14.25" customHeight="1">
      <c r="A117" s="25"/>
      <c r="B117" s="26"/>
      <c r="C117" s="28"/>
      <c r="D117" s="30"/>
      <c r="E117" s="28">
        <f t="shared" si="7"/>
        <v>0</v>
      </c>
      <c r="F117" s="26"/>
      <c r="G117" s="32"/>
    </row>
    <row r="118" ht="14.25" customHeight="1">
      <c r="A118" s="25"/>
      <c r="B118" s="26"/>
      <c r="C118" s="28"/>
      <c r="D118" s="30"/>
      <c r="E118" s="28">
        <f t="shared" si="7"/>
        <v>0</v>
      </c>
      <c r="F118" s="26"/>
      <c r="G118" s="32"/>
    </row>
    <row r="119" ht="14.25" customHeight="1">
      <c r="A119" s="36"/>
      <c r="B119" s="37"/>
      <c r="C119" s="38"/>
      <c r="D119" s="39"/>
      <c r="E119" s="38">
        <f t="shared" si="7"/>
        <v>0</v>
      </c>
      <c r="F119" s="37"/>
      <c r="G119" s="41"/>
    </row>
    <row r="120" ht="14.25" customHeight="1">
      <c r="A120" s="42" t="s">
        <v>62</v>
      </c>
      <c r="B120" s="43"/>
      <c r="C120" s="43"/>
      <c r="D120" s="45"/>
      <c r="E120" s="43">
        <v>0.0</v>
      </c>
      <c r="F120" s="43"/>
      <c r="G120" s="46"/>
    </row>
    <row r="121" ht="14.25" customHeight="1">
      <c r="A121" s="47" t="s">
        <v>64</v>
      </c>
      <c r="B121" s="48"/>
      <c r="C121" s="48"/>
      <c r="D121" s="49"/>
      <c r="E121" s="51">
        <f>SUM(E112:E120)</f>
        <v>18203.38585</v>
      </c>
      <c r="F121" s="48" t="s">
        <v>74</v>
      </c>
      <c r="G121" s="52"/>
    </row>
    <row r="122" ht="14.25" customHeight="1">
      <c r="A122" s="47" t="s">
        <v>67</v>
      </c>
      <c r="B122" s="48"/>
      <c r="C122" s="48"/>
      <c r="D122" s="49"/>
      <c r="E122" s="51">
        <f>E121*15%</f>
        <v>2730.507878</v>
      </c>
      <c r="F122" s="48" t="s">
        <v>76</v>
      </c>
      <c r="G122" s="52"/>
    </row>
    <row r="123" ht="14.25" customHeight="1">
      <c r="A123" s="47" t="s">
        <v>70</v>
      </c>
      <c r="B123" s="48"/>
      <c r="C123" s="48"/>
      <c r="D123" s="49"/>
      <c r="E123" s="51">
        <f>E121+E122</f>
        <v>20933.89373</v>
      </c>
      <c r="F123" s="48"/>
      <c r="G123" s="52"/>
    </row>
    <row r="124" ht="14.25" customHeight="1">
      <c r="A124" s="47" t="s">
        <v>71</v>
      </c>
      <c r="B124" s="48"/>
      <c r="C124" s="48"/>
      <c r="D124" s="49"/>
      <c r="E124" s="51">
        <f>IF(E126&gt;0,E126-E123,0)</f>
        <v>34066.10627</v>
      </c>
      <c r="F124" s="48"/>
      <c r="G124" s="52"/>
    </row>
    <row r="125" ht="14.25" customHeight="1">
      <c r="A125" s="53" t="s">
        <v>73</v>
      </c>
      <c r="B125" s="48"/>
      <c r="C125" s="48"/>
      <c r="D125" s="49"/>
      <c r="E125" s="56">
        <f>IFERROR(E123/E126,0)</f>
        <v>0.3806162497</v>
      </c>
      <c r="F125" s="48"/>
      <c r="G125" s="52"/>
    </row>
    <row r="126" ht="14.25" customHeight="1">
      <c r="A126" s="47" t="s">
        <v>11</v>
      </c>
      <c r="B126" s="48"/>
      <c r="C126" s="48"/>
      <c r="D126" s="49"/>
      <c r="E126" s="58">
        <v>55000.0</v>
      </c>
      <c r="F126" s="48"/>
      <c r="G126" s="52"/>
    </row>
    <row r="127" ht="14.25" customHeight="1">
      <c r="D127" s="60"/>
    </row>
    <row r="128" ht="14.25" customHeight="1">
      <c r="A128" s="4"/>
    </row>
    <row r="129" ht="14.25" customHeight="1">
      <c r="A129" s="6"/>
      <c r="B129" s="8"/>
      <c r="C129" s="8"/>
      <c r="D129" s="10"/>
      <c r="E129" s="8"/>
      <c r="F129" s="8"/>
      <c r="G129" s="13"/>
    </row>
    <row r="130" ht="14.25" customHeight="1">
      <c r="A130" s="14"/>
      <c r="B130" s="15"/>
      <c r="C130" s="17"/>
      <c r="D130" s="19"/>
      <c r="E130" s="17">
        <f t="shared" ref="E130:E137" si="8">IFERROR(C130*D130,0)</f>
        <v>0</v>
      </c>
      <c r="F130" s="15"/>
      <c r="G130" s="24"/>
    </row>
    <row r="131" ht="14.25" customHeight="1">
      <c r="A131" s="25"/>
      <c r="B131" s="26"/>
      <c r="C131" s="28"/>
      <c r="D131" s="30"/>
      <c r="E131" s="28">
        <f t="shared" si="8"/>
        <v>0</v>
      </c>
      <c r="F131" s="26"/>
      <c r="G131" s="32"/>
    </row>
    <row r="132" ht="14.25" customHeight="1">
      <c r="A132" s="25"/>
      <c r="B132" s="26"/>
      <c r="C132" s="28"/>
      <c r="D132" s="30"/>
      <c r="E132" s="28">
        <f t="shared" si="8"/>
        <v>0</v>
      </c>
      <c r="F132" s="26"/>
      <c r="G132" s="32"/>
    </row>
    <row r="133" ht="14.25" customHeight="1">
      <c r="A133" s="25"/>
      <c r="B133" s="26"/>
      <c r="C133" s="28"/>
      <c r="D133" s="30"/>
      <c r="E133" s="28">
        <f t="shared" si="8"/>
        <v>0</v>
      </c>
      <c r="F133" s="26"/>
      <c r="G133" s="32"/>
    </row>
    <row r="134" ht="14.25" customHeight="1">
      <c r="A134" s="25"/>
      <c r="B134" s="26"/>
      <c r="C134" s="28"/>
      <c r="D134" s="30"/>
      <c r="E134" s="28">
        <f t="shared" si="8"/>
        <v>0</v>
      </c>
      <c r="F134" s="26"/>
      <c r="G134" s="32"/>
    </row>
    <row r="135" ht="14.25" customHeight="1">
      <c r="A135" s="25"/>
      <c r="B135" s="26"/>
      <c r="C135" s="28"/>
      <c r="D135" s="30"/>
      <c r="E135" s="28">
        <f t="shared" si="8"/>
        <v>0</v>
      </c>
      <c r="F135" s="26"/>
      <c r="G135" s="32"/>
    </row>
    <row r="136" ht="14.25" customHeight="1">
      <c r="A136" s="25"/>
      <c r="B136" s="26"/>
      <c r="C136" s="28"/>
      <c r="D136" s="30"/>
      <c r="E136" s="28">
        <f t="shared" si="8"/>
        <v>0</v>
      </c>
      <c r="F136" s="26"/>
      <c r="G136" s="32"/>
    </row>
    <row r="137" ht="14.25" customHeight="1">
      <c r="A137" s="36"/>
      <c r="B137" s="37"/>
      <c r="C137" s="38"/>
      <c r="D137" s="39"/>
      <c r="E137" s="38">
        <f t="shared" si="8"/>
        <v>0</v>
      </c>
      <c r="F137" s="37"/>
      <c r="G137" s="41"/>
    </row>
    <row r="138" ht="14.25" customHeight="1">
      <c r="A138" s="42"/>
      <c r="B138" s="43"/>
      <c r="C138" s="43"/>
      <c r="D138" s="45"/>
      <c r="E138" s="43"/>
      <c r="F138" s="43"/>
      <c r="G138" s="46"/>
    </row>
    <row r="139" ht="14.25" customHeight="1">
      <c r="A139" s="47"/>
      <c r="B139" s="48"/>
      <c r="C139" s="48"/>
      <c r="D139" s="49"/>
      <c r="E139" s="51"/>
      <c r="F139" s="48"/>
      <c r="G139" s="52"/>
    </row>
    <row r="140" ht="14.25" customHeight="1">
      <c r="A140" s="47"/>
      <c r="B140" s="48"/>
      <c r="C140" s="48"/>
      <c r="D140" s="49"/>
      <c r="E140" s="51"/>
      <c r="F140" s="48"/>
      <c r="G140" s="52"/>
    </row>
    <row r="141" ht="14.25" customHeight="1">
      <c r="A141" s="47"/>
      <c r="B141" s="48"/>
      <c r="C141" s="48"/>
      <c r="D141" s="49"/>
      <c r="E141" s="51"/>
      <c r="F141" s="48"/>
      <c r="G141" s="52"/>
    </row>
    <row r="142" ht="14.25" customHeight="1">
      <c r="A142" s="47"/>
      <c r="B142" s="48"/>
      <c r="C142" s="48"/>
      <c r="D142" s="49"/>
      <c r="E142" s="51"/>
      <c r="F142" s="48"/>
      <c r="G142" s="52"/>
    </row>
    <row r="143" ht="14.25" customHeight="1">
      <c r="A143" s="47"/>
      <c r="B143" s="48"/>
      <c r="C143" s="48"/>
      <c r="D143" s="49"/>
      <c r="E143" s="56"/>
      <c r="F143" s="48"/>
      <c r="G143" s="52"/>
    </row>
    <row r="144" ht="14.25" customHeight="1">
      <c r="A144" s="47"/>
      <c r="B144" s="48"/>
      <c r="C144" s="48"/>
      <c r="D144" s="49"/>
      <c r="E144" s="78"/>
      <c r="F144" s="48"/>
      <c r="G144" s="52"/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0:G110"/>
    <mergeCell ref="A128:G128"/>
    <mergeCell ref="A1:G1"/>
    <mergeCell ref="A2:G2"/>
    <mergeCell ref="A20:G20"/>
    <mergeCell ref="A38:G38"/>
    <mergeCell ref="A56:G56"/>
    <mergeCell ref="A74:G74"/>
    <mergeCell ref="A92:G9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227</v>
      </c>
      <c r="B1" s="2"/>
      <c r="C1" s="2"/>
      <c r="D1" s="2"/>
      <c r="E1" s="2"/>
      <c r="F1" s="2"/>
      <c r="G1" s="3"/>
    </row>
    <row r="2">
      <c r="A2" s="4" t="s">
        <v>229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212</v>
      </c>
      <c r="B4" s="15" t="s">
        <v>22</v>
      </c>
      <c r="C4" s="17">
        <f>'WIP FOOD'!$B$543</f>
        <v>1225.731863</v>
      </c>
      <c r="D4" s="19">
        <v>3.0</v>
      </c>
      <c r="E4" s="17">
        <f t="shared" ref="E4:E11" si="1">IFERROR(C4*D4,0)</f>
        <v>3677.19559</v>
      </c>
      <c r="F4" s="15" t="s">
        <v>322</v>
      </c>
      <c r="G4" s="24"/>
    </row>
    <row r="5" ht="14.25" customHeight="1">
      <c r="A5" s="25" t="s">
        <v>216</v>
      </c>
      <c r="B5" s="26" t="s">
        <v>24</v>
      </c>
      <c r="C5" s="28">
        <f>'WIP FOOD'!$B$207</f>
        <v>45.45739175</v>
      </c>
      <c r="D5" s="30">
        <v>40.0</v>
      </c>
      <c r="E5" s="28">
        <f t="shared" si="1"/>
        <v>1818.29567</v>
      </c>
      <c r="F5" s="26" t="s">
        <v>325</v>
      </c>
      <c r="G5" s="32"/>
    </row>
    <row r="6" ht="14.25" customHeight="1">
      <c r="A6" s="25" t="s">
        <v>215</v>
      </c>
      <c r="B6" s="26" t="s">
        <v>59</v>
      </c>
      <c r="C6" s="28">
        <f>'WIP FOOD'!$B$411</f>
        <v>37.76748971</v>
      </c>
      <c r="D6" s="30">
        <v>50.0</v>
      </c>
      <c r="E6" s="28">
        <f t="shared" si="1"/>
        <v>1888.374486</v>
      </c>
      <c r="F6" s="26" t="s">
        <v>326</v>
      </c>
      <c r="G6" s="32"/>
    </row>
    <row r="7" ht="14.25" customHeight="1">
      <c r="A7" s="25" t="s">
        <v>53</v>
      </c>
      <c r="B7" s="26" t="s">
        <v>327</v>
      </c>
      <c r="C7" s="28">
        <f>'WIP FOOD'!$B$218</f>
        <v>362.7209213</v>
      </c>
      <c r="D7" s="30">
        <v>1.0</v>
      </c>
      <c r="E7" s="28">
        <f t="shared" si="1"/>
        <v>362.7209213</v>
      </c>
      <c r="F7" s="26" t="s">
        <v>328</v>
      </c>
      <c r="G7" s="32"/>
    </row>
    <row r="8" ht="14.25" customHeight="1">
      <c r="A8" s="25" t="s">
        <v>329</v>
      </c>
      <c r="B8" s="26" t="s">
        <v>327</v>
      </c>
      <c r="C8" s="28">
        <f>IFERROR(VLOOKUP(A8,'Market List'!$B:$F,5,FALSE),0)</f>
        <v>20</v>
      </c>
      <c r="D8" s="30">
        <v>1.0</v>
      </c>
      <c r="E8" s="28">
        <f t="shared" si="1"/>
        <v>20</v>
      </c>
      <c r="F8" s="26" t="s">
        <v>330</v>
      </c>
      <c r="G8" s="32"/>
    </row>
    <row r="9" ht="14.25" customHeight="1">
      <c r="A9" s="25" t="s">
        <v>331</v>
      </c>
      <c r="B9" s="26" t="s">
        <v>24</v>
      </c>
      <c r="C9" s="28">
        <f>IFERROR(VLOOKUP(A9,'Market List'!$B:$F,5,FALSE),0)</f>
        <v>16</v>
      </c>
      <c r="D9" s="30">
        <v>100.0</v>
      </c>
      <c r="E9" s="28">
        <f t="shared" si="1"/>
        <v>1600</v>
      </c>
      <c r="F9" s="26" t="s">
        <v>332</v>
      </c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9366.586667</v>
      </c>
      <c r="F13" s="48" t="s">
        <v>66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1404.988</v>
      </c>
      <c r="F14" s="48" t="s">
        <v>69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10771.57467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29228.42533</v>
      </c>
      <c r="F16" s="48"/>
      <c r="G16" s="52"/>
    </row>
    <row r="17" ht="14.25" customHeight="1">
      <c r="A17" s="53" t="s">
        <v>73</v>
      </c>
      <c r="B17" s="48"/>
      <c r="C17" s="48"/>
      <c r="D17" s="49"/>
      <c r="E17" s="56">
        <f>IFERROR(E15/E18,0)</f>
        <v>0.2692893667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58">
        <v>40000.0</v>
      </c>
      <c r="F18" s="48"/>
      <c r="G18" s="52"/>
    </row>
    <row r="19" ht="14.25" customHeight="1">
      <c r="D19" s="60"/>
    </row>
    <row r="20">
      <c r="A20" s="4" t="s">
        <v>235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 t="s">
        <v>212</v>
      </c>
      <c r="B22" s="15" t="s">
        <v>22</v>
      </c>
      <c r="C22" s="17">
        <f>'WIP FOOD'!$B$543</f>
        <v>1225.731863</v>
      </c>
      <c r="D22" s="19">
        <v>3.0</v>
      </c>
      <c r="E22" s="17">
        <f t="shared" ref="E22:E29" si="2">IFERROR(C22*D22,0)</f>
        <v>3677.19559</v>
      </c>
      <c r="F22" s="15" t="s">
        <v>322</v>
      </c>
      <c r="G22" s="24"/>
    </row>
    <row r="23" ht="14.25" customHeight="1">
      <c r="A23" s="25" t="s">
        <v>337</v>
      </c>
      <c r="B23" s="26" t="s">
        <v>24</v>
      </c>
      <c r="C23" s="28">
        <f>IFERROR(VLOOKUP(A23,'Market List'!$B:$F,5,FALSE),0)</f>
        <v>0</v>
      </c>
      <c r="D23" s="30">
        <v>100.0</v>
      </c>
      <c r="E23" s="28">
        <f t="shared" si="2"/>
        <v>0</v>
      </c>
      <c r="F23" s="26" t="s">
        <v>338</v>
      </c>
      <c r="G23" s="32"/>
    </row>
    <row r="24" ht="14.25" customHeight="1">
      <c r="A24" s="25" t="s">
        <v>35</v>
      </c>
      <c r="B24" s="26" t="s">
        <v>24</v>
      </c>
      <c r="C24" s="28">
        <f>'WIP FOOD'!$B$452</f>
        <v>74.82275545</v>
      </c>
      <c r="D24" s="30">
        <v>30.0</v>
      </c>
      <c r="E24" s="28">
        <f t="shared" si="2"/>
        <v>2244.682663</v>
      </c>
      <c r="F24" s="26" t="s">
        <v>326</v>
      </c>
      <c r="G24" s="32"/>
    </row>
    <row r="25" ht="14.25" customHeight="1">
      <c r="A25" s="25" t="s">
        <v>53</v>
      </c>
      <c r="B25" s="26" t="s">
        <v>24</v>
      </c>
      <c r="C25" s="28">
        <f>'WIP FOOD'!$B$218</f>
        <v>362.7209213</v>
      </c>
      <c r="D25" s="30">
        <v>2.0</v>
      </c>
      <c r="E25" s="28">
        <f t="shared" si="2"/>
        <v>725.4418426</v>
      </c>
      <c r="F25" s="26" t="s">
        <v>339</v>
      </c>
      <c r="G25" s="32"/>
    </row>
    <row r="26" ht="14.25" customHeight="1">
      <c r="A26" s="25" t="s">
        <v>228</v>
      </c>
      <c r="B26" s="26" t="s">
        <v>24</v>
      </c>
      <c r="C26" s="28">
        <f>'WIP FOOD'!$B$288</f>
        <v>29.98463198</v>
      </c>
      <c r="D26" s="30">
        <v>30.0</v>
      </c>
      <c r="E26" s="28">
        <f t="shared" si="2"/>
        <v>899.5389595</v>
      </c>
      <c r="F26" s="26" t="s">
        <v>340</v>
      </c>
      <c r="G26" s="32"/>
    </row>
    <row r="27" ht="14.25" customHeight="1">
      <c r="A27" s="25" t="s">
        <v>36</v>
      </c>
      <c r="B27" s="26" t="s">
        <v>24</v>
      </c>
      <c r="C27" s="28">
        <f>IFERROR(VLOOKUP(A27,'Market List'!$B:$F,5,FALSE),0)</f>
        <v>20</v>
      </c>
      <c r="D27" s="30">
        <v>4.0</v>
      </c>
      <c r="E27" s="28">
        <f t="shared" si="2"/>
        <v>80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7626.859056</v>
      </c>
      <c r="F31" s="48" t="s">
        <v>66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1144.028858</v>
      </c>
      <c r="F32" s="48" t="s">
        <v>69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8770.887914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31229.11209</v>
      </c>
      <c r="F34" s="48"/>
      <c r="G34" s="52"/>
    </row>
    <row r="35" ht="14.25" customHeight="1">
      <c r="A35" s="53" t="s">
        <v>73</v>
      </c>
      <c r="B35" s="48"/>
      <c r="C35" s="48"/>
      <c r="D35" s="49"/>
      <c r="E35" s="56">
        <f>IFERROR(E33/E36,0)</f>
        <v>0.2192721979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58">
        <v>40000.0</v>
      </c>
      <c r="F36" s="48"/>
      <c r="G36" s="52"/>
    </row>
    <row r="37" ht="14.25" customHeight="1">
      <c r="D37" s="60"/>
    </row>
    <row r="38">
      <c r="A38" s="4" t="s">
        <v>238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 t="s">
        <v>77</v>
      </c>
      <c r="B40" s="15" t="s">
        <v>22</v>
      </c>
      <c r="C40" s="17">
        <f>'WIP FOOD'!$B$372</f>
        <v>94.38826313</v>
      </c>
      <c r="D40" s="62">
        <v>100.0</v>
      </c>
      <c r="E40" s="17">
        <f t="shared" ref="E40:E47" si="3">IFERROR(C40*D40,0)</f>
        <v>9438.826313</v>
      </c>
      <c r="F40" s="15" t="s">
        <v>348</v>
      </c>
      <c r="G40" s="24"/>
    </row>
    <row r="41" ht="14.25" customHeight="1">
      <c r="A41" s="25" t="s">
        <v>35</v>
      </c>
      <c r="B41" s="26" t="s">
        <v>24</v>
      </c>
      <c r="C41" s="28">
        <f>'WIP FOOD'!$B$452</f>
        <v>74.82275545</v>
      </c>
      <c r="D41" s="30">
        <v>30.0</v>
      </c>
      <c r="E41" s="28">
        <f t="shared" si="3"/>
        <v>2244.682663</v>
      </c>
      <c r="F41" s="26" t="s">
        <v>350</v>
      </c>
      <c r="G41" s="32"/>
    </row>
    <row r="42" ht="14.25" customHeight="1">
      <c r="A42" s="25" t="s">
        <v>351</v>
      </c>
      <c r="B42" s="26" t="s">
        <v>24</v>
      </c>
      <c r="C42" s="28">
        <f>IFERROR(VLOOKUP(A42,'Market List'!$B:$F,5,FALSE),0)</f>
        <v>627.7777778</v>
      </c>
      <c r="D42" s="88">
        <v>10.0</v>
      </c>
      <c r="E42" s="28">
        <f t="shared" si="3"/>
        <v>6277.777778</v>
      </c>
      <c r="F42" s="26" t="s">
        <v>353</v>
      </c>
      <c r="G42" s="32"/>
    </row>
    <row r="43" ht="14.25" customHeight="1">
      <c r="A43" s="25" t="s">
        <v>228</v>
      </c>
      <c r="B43" s="26" t="s">
        <v>24</v>
      </c>
      <c r="C43" s="28">
        <f>'WIP FOOD'!$B$288</f>
        <v>29.98463198</v>
      </c>
      <c r="D43" s="30">
        <v>60.0</v>
      </c>
      <c r="E43" s="28">
        <f t="shared" si="3"/>
        <v>1799.077919</v>
      </c>
      <c r="F43" s="26" t="s">
        <v>354</v>
      </c>
      <c r="G43" s="32"/>
    </row>
    <row r="44" ht="14.25" customHeight="1">
      <c r="A44" s="25" t="s">
        <v>53</v>
      </c>
      <c r="B44" s="26" t="s">
        <v>24</v>
      </c>
      <c r="C44" s="28">
        <f>'WIP FOOD'!$B$218</f>
        <v>362.7209213</v>
      </c>
      <c r="D44" s="30">
        <v>2.0</v>
      </c>
      <c r="E44" s="28">
        <f t="shared" si="3"/>
        <v>725.4418426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20485.80652</v>
      </c>
      <c r="F49" s="48" t="s">
        <v>66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3072.870977</v>
      </c>
      <c r="F50" s="48" t="s">
        <v>69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23558.67749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26441.32251</v>
      </c>
      <c r="F52" s="48"/>
      <c r="G52" s="52"/>
    </row>
    <row r="53" ht="14.25" customHeight="1">
      <c r="A53" s="53" t="s">
        <v>73</v>
      </c>
      <c r="B53" s="48"/>
      <c r="C53" s="48"/>
      <c r="D53" s="49"/>
      <c r="E53" s="56">
        <f>IFERROR(E51/E54,0)</f>
        <v>0.4711735499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58">
        <v>50000.0</v>
      </c>
      <c r="F54" s="48"/>
      <c r="G54" s="52"/>
    </row>
    <row r="55" ht="14.25" customHeight="1">
      <c r="D55" s="60"/>
    </row>
    <row r="56">
      <c r="A56" s="4" t="s">
        <v>240</v>
      </c>
    </row>
    <row r="57" ht="14.25" customHeight="1">
      <c r="A57" s="6" t="s">
        <v>8</v>
      </c>
      <c r="B57" s="8" t="s">
        <v>10</v>
      </c>
      <c r="C57" s="8" t="s">
        <v>12</v>
      </c>
      <c r="D57" s="10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 t="s">
        <v>355</v>
      </c>
      <c r="B58" s="15" t="s">
        <v>22</v>
      </c>
      <c r="C58" s="17">
        <f>'WIP FOOD'!$B$180</f>
        <v>10969.45476</v>
      </c>
      <c r="D58" s="19">
        <v>2.0</v>
      </c>
      <c r="E58" s="17">
        <f t="shared" ref="E58:E65" si="4">IFERROR(C58*D58,0)</f>
        <v>21938.90952</v>
      </c>
      <c r="F58" s="15" t="s">
        <v>356</v>
      </c>
      <c r="G58" s="24"/>
    </row>
    <row r="59" ht="14.25" customHeight="1">
      <c r="A59" s="25" t="s">
        <v>320</v>
      </c>
      <c r="B59" s="26" t="s">
        <v>24</v>
      </c>
      <c r="C59" s="28">
        <f>'WIP FOOD'!$B$62</f>
        <v>89.06203572</v>
      </c>
      <c r="D59" s="30">
        <v>30.0</v>
      </c>
      <c r="E59" s="28">
        <f t="shared" si="4"/>
        <v>2671.861072</v>
      </c>
      <c r="F59" s="26" t="s">
        <v>358</v>
      </c>
      <c r="G59" s="32"/>
    </row>
    <row r="60" ht="14.25" customHeight="1">
      <c r="A60" s="25" t="s">
        <v>44</v>
      </c>
      <c r="B60" s="26" t="s">
        <v>24</v>
      </c>
      <c r="C60" s="28">
        <f>IFERROR(VLOOKUP(A60,'Market List'!$B:$F,5,FALSE),0)</f>
        <v>496</v>
      </c>
      <c r="D60" s="30">
        <v>1.0</v>
      </c>
      <c r="E60" s="28">
        <f t="shared" si="4"/>
        <v>496</v>
      </c>
      <c r="F60" s="26" t="s">
        <v>359</v>
      </c>
      <c r="G60" s="32"/>
    </row>
    <row r="61" ht="14.25" customHeight="1">
      <c r="A61" s="25" t="s">
        <v>88</v>
      </c>
      <c r="B61" s="26" t="s">
        <v>24</v>
      </c>
      <c r="C61" s="28">
        <f>IFERROR(VLOOKUP(A61,'Market List'!$B:$F,5,FALSE),0)</f>
        <v>351.6666667</v>
      </c>
      <c r="D61" s="30">
        <v>5.0</v>
      </c>
      <c r="E61" s="28">
        <f t="shared" si="4"/>
        <v>1758.333333</v>
      </c>
      <c r="F61" s="26"/>
      <c r="G61" s="32"/>
    </row>
    <row r="62" ht="14.25" customHeight="1">
      <c r="A62" s="25"/>
      <c r="B62" s="26"/>
      <c r="C62" s="28"/>
      <c r="D62" s="30"/>
      <c r="E62" s="28">
        <f t="shared" si="4"/>
        <v>0</v>
      </c>
      <c r="F62" s="26"/>
      <c r="G62" s="32"/>
    </row>
    <row r="63" ht="14.25" customHeight="1">
      <c r="A63" s="25"/>
      <c r="B63" s="26"/>
      <c r="C63" s="28"/>
      <c r="D63" s="30"/>
      <c r="E63" s="28">
        <f t="shared" si="4"/>
        <v>0</v>
      </c>
      <c r="F63" s="26"/>
      <c r="G63" s="32"/>
    </row>
    <row r="64" ht="14.25" customHeight="1">
      <c r="A64" s="25"/>
      <c r="B64" s="26"/>
      <c r="C64" s="28"/>
      <c r="D64" s="30"/>
      <c r="E64" s="28">
        <f t="shared" si="4"/>
        <v>0</v>
      </c>
      <c r="F64" s="26"/>
      <c r="G64" s="32"/>
    </row>
    <row r="65" ht="14.25" customHeight="1">
      <c r="A65" s="36"/>
      <c r="B65" s="37"/>
      <c r="C65" s="38"/>
      <c r="D65" s="39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5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49"/>
      <c r="E67" s="51">
        <f>SUM(E58:E66)</f>
        <v>26865.10393</v>
      </c>
      <c r="F67" s="48" t="s">
        <v>66</v>
      </c>
      <c r="G67" s="52"/>
    </row>
    <row r="68" ht="14.25" customHeight="1">
      <c r="A68" s="47" t="s">
        <v>67</v>
      </c>
      <c r="B68" s="48"/>
      <c r="C68" s="48"/>
      <c r="D68" s="49"/>
      <c r="E68" s="51">
        <f>E67*15%</f>
        <v>4029.765589</v>
      </c>
      <c r="F68" s="48" t="s">
        <v>69</v>
      </c>
      <c r="G68" s="52"/>
    </row>
    <row r="69" ht="14.25" customHeight="1">
      <c r="A69" s="47" t="s">
        <v>70</v>
      </c>
      <c r="B69" s="48"/>
      <c r="C69" s="48"/>
      <c r="D69" s="49"/>
      <c r="E69" s="51">
        <f>E67+E68</f>
        <v>30894.86952</v>
      </c>
      <c r="F69" s="48"/>
      <c r="G69" s="52"/>
    </row>
    <row r="70" ht="14.25" customHeight="1">
      <c r="A70" s="47" t="s">
        <v>71</v>
      </c>
      <c r="B70" s="48"/>
      <c r="C70" s="48"/>
      <c r="D70" s="49"/>
      <c r="E70" s="51">
        <f>IF(E72&gt;0,E72-E69,0)</f>
        <v>29105.13048</v>
      </c>
      <c r="F70" s="48"/>
      <c r="G70" s="52"/>
    </row>
    <row r="71" ht="14.25" customHeight="1">
      <c r="A71" s="53" t="s">
        <v>73</v>
      </c>
      <c r="B71" s="48"/>
      <c r="C71" s="48"/>
      <c r="D71" s="49"/>
      <c r="E71" s="56">
        <f>IFERROR(E69/E72,0)</f>
        <v>0.514914492</v>
      </c>
      <c r="F71" s="48"/>
      <c r="G71" s="52"/>
    </row>
    <row r="72" ht="14.25" customHeight="1">
      <c r="A72" s="47" t="s">
        <v>11</v>
      </c>
      <c r="B72" s="48"/>
      <c r="C72" s="48"/>
      <c r="D72" s="49"/>
      <c r="E72" s="58">
        <v>60000.0</v>
      </c>
      <c r="F72" s="48"/>
      <c r="G72" s="52"/>
    </row>
    <row r="73" ht="14.25" customHeight="1">
      <c r="D73" s="60"/>
    </row>
    <row r="74">
      <c r="A74" s="4" t="s">
        <v>245</v>
      </c>
    </row>
    <row r="75" ht="14.25" customHeight="1">
      <c r="A75" s="6" t="s">
        <v>8</v>
      </c>
      <c r="B75" s="8" t="s">
        <v>10</v>
      </c>
      <c r="C75" s="8" t="s">
        <v>12</v>
      </c>
      <c r="D75" s="10" t="s">
        <v>13</v>
      </c>
      <c r="E75" s="8" t="s">
        <v>16</v>
      </c>
      <c r="F75" s="8" t="s">
        <v>17</v>
      </c>
      <c r="G75" s="13" t="s">
        <v>18</v>
      </c>
    </row>
    <row r="76" ht="14.25" customHeight="1">
      <c r="A76" s="14" t="s">
        <v>364</v>
      </c>
      <c r="B76" s="15" t="s">
        <v>24</v>
      </c>
      <c r="C76" s="17">
        <f>IFERROR(VLOOKUP(A76,'Market List'!$B:$F,5,FALSE),0)</f>
        <v>13</v>
      </c>
      <c r="D76" s="19">
        <v>90.0</v>
      </c>
      <c r="E76" s="17">
        <f t="shared" ref="E76:E83" si="5">IFERROR(C76*D76,0)</f>
        <v>1170</v>
      </c>
      <c r="F76" s="15" t="s">
        <v>368</v>
      </c>
      <c r="G76" s="24"/>
    </row>
    <row r="77" ht="14.25" customHeight="1">
      <c r="A77" s="25" t="s">
        <v>369</v>
      </c>
      <c r="B77" s="26" t="s">
        <v>24</v>
      </c>
      <c r="C77" s="28">
        <f>'WIP FOOD'!$B$607</f>
        <v>203.8935556</v>
      </c>
      <c r="D77" s="30">
        <v>2.0</v>
      </c>
      <c r="E77" s="28">
        <f t="shared" si="5"/>
        <v>407.7871111</v>
      </c>
      <c r="F77" s="26" t="s">
        <v>372</v>
      </c>
      <c r="G77" s="32"/>
    </row>
    <row r="78" ht="14.25" customHeight="1">
      <c r="A78" s="25" t="s">
        <v>374</v>
      </c>
      <c r="B78" s="26" t="s">
        <v>24</v>
      </c>
      <c r="C78" s="28">
        <f>IFERROR(VLOOKUP(A78,'Market List'!$B:$F,5,FALSE),0)</f>
        <v>140</v>
      </c>
      <c r="D78" s="30">
        <v>5.0</v>
      </c>
      <c r="E78" s="28">
        <f t="shared" si="5"/>
        <v>700</v>
      </c>
      <c r="F78" s="26" t="s">
        <v>375</v>
      </c>
      <c r="G78" s="32"/>
    </row>
    <row r="79" ht="14.25" customHeight="1">
      <c r="A79" s="25" t="s">
        <v>44</v>
      </c>
      <c r="B79" s="26" t="s">
        <v>24</v>
      </c>
      <c r="C79" s="28">
        <f>IFERROR(VLOOKUP(A79,'Market List'!$B:$F,5,FALSE),0)</f>
        <v>496</v>
      </c>
      <c r="D79" s="30">
        <v>1.0</v>
      </c>
      <c r="E79" s="28">
        <f t="shared" si="5"/>
        <v>496</v>
      </c>
      <c r="F79" s="26" t="s">
        <v>378</v>
      </c>
      <c r="G79" s="32"/>
    </row>
    <row r="80" ht="14.25" customHeight="1">
      <c r="A80" s="25" t="s">
        <v>50</v>
      </c>
      <c r="B80" s="26" t="s">
        <v>24</v>
      </c>
      <c r="C80" s="28">
        <f>IFERROR(VLOOKUP(A80,'Market List'!$B:$F,5,FALSE),0)</f>
        <v>478.3989</v>
      </c>
      <c r="D80" s="30" t="s">
        <v>370</v>
      </c>
      <c r="E80" s="28">
        <f t="shared" si="5"/>
        <v>239.19945</v>
      </c>
      <c r="F80" s="26" t="s">
        <v>381</v>
      </c>
      <c r="G80" s="32"/>
    </row>
    <row r="81" ht="14.25" customHeight="1">
      <c r="A81" s="25"/>
      <c r="B81" s="26"/>
      <c r="C81" s="28"/>
      <c r="D81" s="30"/>
      <c r="E81" s="28">
        <f t="shared" si="5"/>
        <v>0</v>
      </c>
      <c r="F81" s="26"/>
      <c r="G81" s="32"/>
    </row>
    <row r="82" ht="14.25" customHeight="1">
      <c r="A82" s="25"/>
      <c r="B82" s="26"/>
      <c r="C82" s="28"/>
      <c r="D82" s="30"/>
      <c r="E82" s="28">
        <f t="shared" si="5"/>
        <v>0</v>
      </c>
      <c r="F82" s="26"/>
      <c r="G82" s="32"/>
    </row>
    <row r="83" ht="14.25" customHeight="1">
      <c r="A83" s="36"/>
      <c r="B83" s="37"/>
      <c r="C83" s="38"/>
      <c r="D83" s="39"/>
      <c r="E83" s="38">
        <f t="shared" si="5"/>
        <v>0</v>
      </c>
      <c r="F83" s="37"/>
      <c r="G83" s="41"/>
    </row>
    <row r="84" ht="14.25" customHeight="1">
      <c r="A84" s="42" t="s">
        <v>62</v>
      </c>
      <c r="B84" s="43"/>
      <c r="C84" s="43"/>
      <c r="D84" s="45"/>
      <c r="E84" s="43">
        <v>0.0</v>
      </c>
      <c r="F84" s="43"/>
      <c r="G84" s="46"/>
    </row>
    <row r="85" ht="14.25" customHeight="1">
      <c r="A85" s="47" t="s">
        <v>64</v>
      </c>
      <c r="B85" s="48"/>
      <c r="C85" s="48"/>
      <c r="D85" s="49"/>
      <c r="E85" s="51">
        <f>SUM(E76:E84)</f>
        <v>3012.986561</v>
      </c>
      <c r="F85" s="48" t="s">
        <v>66</v>
      </c>
      <c r="G85" s="52"/>
    </row>
    <row r="86" ht="14.25" customHeight="1">
      <c r="A86" s="47" t="s">
        <v>67</v>
      </c>
      <c r="B86" s="48"/>
      <c r="C86" s="48"/>
      <c r="D86" s="49"/>
      <c r="E86" s="51">
        <f>E85*15%</f>
        <v>451.9479842</v>
      </c>
      <c r="F86" s="48" t="s">
        <v>69</v>
      </c>
      <c r="G86" s="52"/>
    </row>
    <row r="87" ht="14.25" customHeight="1">
      <c r="A87" s="47" t="s">
        <v>70</v>
      </c>
      <c r="B87" s="48"/>
      <c r="C87" s="48"/>
      <c r="D87" s="49"/>
      <c r="E87" s="51">
        <f>E85+E86</f>
        <v>3464.934545</v>
      </c>
      <c r="F87" s="48"/>
      <c r="G87" s="52"/>
    </row>
    <row r="88" ht="14.25" customHeight="1">
      <c r="A88" s="47" t="s">
        <v>71</v>
      </c>
      <c r="B88" s="48"/>
      <c r="C88" s="48"/>
      <c r="D88" s="49"/>
      <c r="E88" s="51">
        <f>IF(E90&gt;0,E90-E87,0)</f>
        <v>21535.06545</v>
      </c>
      <c r="F88" s="48"/>
      <c r="G88" s="52"/>
    </row>
    <row r="89" ht="14.25" customHeight="1">
      <c r="A89" s="53" t="s">
        <v>73</v>
      </c>
      <c r="B89" s="48"/>
      <c r="C89" s="48"/>
      <c r="D89" s="49"/>
      <c r="E89" s="56">
        <f>IFERROR(E87/E90,0)</f>
        <v>0.1385973818</v>
      </c>
      <c r="F89" s="48"/>
      <c r="G89" s="52"/>
    </row>
    <row r="90" ht="14.25" customHeight="1">
      <c r="A90" s="47" t="s">
        <v>11</v>
      </c>
      <c r="B90" s="48"/>
      <c r="C90" s="48"/>
      <c r="D90" s="49"/>
      <c r="E90" s="58">
        <v>25000.0</v>
      </c>
      <c r="F90" s="48"/>
      <c r="G90" s="52"/>
    </row>
    <row r="91" ht="14.25" customHeight="1">
      <c r="D91" s="60"/>
    </row>
    <row r="92" ht="14.25" customHeight="1">
      <c r="A92" s="4" t="s">
        <v>249</v>
      </c>
    </row>
    <row r="93" ht="14.25" customHeight="1">
      <c r="A93" s="6" t="s">
        <v>8</v>
      </c>
      <c r="B93" s="8" t="s">
        <v>10</v>
      </c>
      <c r="C93" s="8" t="s">
        <v>12</v>
      </c>
      <c r="D93" s="10" t="s">
        <v>13</v>
      </c>
      <c r="E93" s="8" t="s">
        <v>16</v>
      </c>
      <c r="F93" s="8" t="s">
        <v>17</v>
      </c>
      <c r="G93" s="13" t="s">
        <v>18</v>
      </c>
    </row>
    <row r="94" ht="14.25" customHeight="1">
      <c r="A94" s="84" t="s">
        <v>386</v>
      </c>
      <c r="B94" s="15" t="s">
        <v>22</v>
      </c>
      <c r="C94" s="17">
        <f>IFERROR(VLOOKUP(A94,'Market List'!$B:$F,5,FALSE),0)</f>
        <v>2004.902862</v>
      </c>
      <c r="D94" s="62">
        <v>2.0</v>
      </c>
      <c r="E94" s="17">
        <f t="shared" ref="E94:E101" si="6">IFERROR(C94*D94,0)</f>
        <v>4009.805724</v>
      </c>
      <c r="F94" s="15" t="s">
        <v>322</v>
      </c>
      <c r="G94" s="24"/>
    </row>
    <row r="95" ht="14.25" customHeight="1">
      <c r="A95" s="86" t="s">
        <v>387</v>
      </c>
      <c r="B95" s="26" t="s">
        <v>24</v>
      </c>
      <c r="C95" s="28">
        <f>IFERROR(VLOOKUP(A95,'Market List'!$B:$F,5,FALSE),0)</f>
        <v>20.20893877</v>
      </c>
      <c r="D95" s="88">
        <v>30.0</v>
      </c>
      <c r="E95" s="28">
        <f t="shared" si="6"/>
        <v>606.2681632</v>
      </c>
      <c r="F95" s="26" t="s">
        <v>389</v>
      </c>
      <c r="G95" s="32"/>
    </row>
    <row r="96" ht="14.25" customHeight="1">
      <c r="A96" s="25" t="s">
        <v>369</v>
      </c>
      <c r="B96" s="26" t="s">
        <v>24</v>
      </c>
      <c r="C96" s="28">
        <f>'WIP FOOD'!$B$607</f>
        <v>203.8935556</v>
      </c>
      <c r="D96" s="30">
        <v>2.0</v>
      </c>
      <c r="E96" s="28">
        <f t="shared" si="6"/>
        <v>407.7871111</v>
      </c>
      <c r="F96" s="26" t="s">
        <v>390</v>
      </c>
      <c r="G96" s="32"/>
    </row>
    <row r="97" ht="14.25" customHeight="1">
      <c r="A97" s="25" t="s">
        <v>44</v>
      </c>
      <c r="B97" s="26" t="s">
        <v>24</v>
      </c>
      <c r="C97" s="28">
        <f>IFERROR(VLOOKUP(A97,'Market List'!$B:$F,5,FALSE),0)</f>
        <v>496</v>
      </c>
      <c r="D97" s="30">
        <v>1.0</v>
      </c>
      <c r="E97" s="28">
        <f t="shared" si="6"/>
        <v>496</v>
      </c>
      <c r="F97" s="26" t="s">
        <v>391</v>
      </c>
      <c r="G97" s="32"/>
    </row>
    <row r="98" ht="14.25" customHeight="1">
      <c r="A98" s="25" t="s">
        <v>392</v>
      </c>
      <c r="B98" s="26" t="s">
        <v>24</v>
      </c>
      <c r="C98" s="28">
        <f>IFERROR(VLOOKUP(A98,'Market List'!$B:$F,5,FALSE),0)</f>
        <v>53</v>
      </c>
      <c r="D98" s="30">
        <v>5.0</v>
      </c>
      <c r="E98" s="28">
        <f t="shared" si="6"/>
        <v>265</v>
      </c>
      <c r="F98" s="26" t="s">
        <v>393</v>
      </c>
      <c r="G98" s="32"/>
    </row>
    <row r="99" ht="14.25" customHeight="1">
      <c r="A99" s="25" t="s">
        <v>320</v>
      </c>
      <c r="B99" s="26" t="s">
        <v>24</v>
      </c>
      <c r="C99" s="28">
        <f>'WIP FOOD'!$B$62</f>
        <v>89.06203572</v>
      </c>
      <c r="D99" s="30">
        <v>20.0</v>
      </c>
      <c r="E99" s="28">
        <f t="shared" si="6"/>
        <v>1781.240714</v>
      </c>
      <c r="F99" s="26"/>
      <c r="G99" s="32"/>
    </row>
    <row r="100" ht="14.25" customHeight="1">
      <c r="A100" s="25" t="s">
        <v>349</v>
      </c>
      <c r="B100" s="26" t="s">
        <v>24</v>
      </c>
      <c r="C100" s="28">
        <f>'WIP FOOD'!$B$72</f>
        <v>120.1185762</v>
      </c>
      <c r="D100" s="30">
        <v>20.0</v>
      </c>
      <c r="E100" s="28">
        <f t="shared" si="6"/>
        <v>2402.371524</v>
      </c>
      <c r="F100" s="26"/>
      <c r="G100" s="32"/>
    </row>
    <row r="101" ht="14.25" customHeight="1">
      <c r="A101" s="36"/>
      <c r="B101" s="37"/>
      <c r="C101" s="38"/>
      <c r="D101" s="39"/>
      <c r="E101" s="38">
        <f t="shared" si="6"/>
        <v>0</v>
      </c>
      <c r="F101" s="37"/>
      <c r="G101" s="41"/>
    </row>
    <row r="102" ht="14.25" customHeight="1">
      <c r="A102" s="42" t="s">
        <v>62</v>
      </c>
      <c r="B102" s="43"/>
      <c r="C102" s="43"/>
      <c r="D102" s="45"/>
      <c r="E102" s="43">
        <v>0.0</v>
      </c>
      <c r="F102" s="43"/>
      <c r="G102" s="46"/>
    </row>
    <row r="103" ht="14.25" customHeight="1">
      <c r="A103" s="47" t="s">
        <v>64</v>
      </c>
      <c r="B103" s="48"/>
      <c r="C103" s="48"/>
      <c r="D103" s="49"/>
      <c r="E103" s="51">
        <f>SUM(E94:E102)</f>
        <v>9968.473237</v>
      </c>
      <c r="F103" s="48" t="s">
        <v>66</v>
      </c>
      <c r="G103" s="52"/>
    </row>
    <row r="104" ht="14.25" customHeight="1">
      <c r="A104" s="47" t="s">
        <v>67</v>
      </c>
      <c r="B104" s="48"/>
      <c r="C104" s="48"/>
      <c r="D104" s="49"/>
      <c r="E104" s="51">
        <f>E103*15%</f>
        <v>1495.270986</v>
      </c>
      <c r="F104" s="48" t="s">
        <v>69</v>
      </c>
      <c r="G104" s="52"/>
    </row>
    <row r="105" ht="14.25" customHeight="1">
      <c r="A105" s="47" t="s">
        <v>70</v>
      </c>
      <c r="B105" s="48"/>
      <c r="C105" s="48"/>
      <c r="D105" s="49"/>
      <c r="E105" s="51">
        <f>E103+E104</f>
        <v>11463.74422</v>
      </c>
      <c r="F105" s="48"/>
      <c r="G105" s="52"/>
    </row>
    <row r="106" ht="14.25" customHeight="1">
      <c r="A106" s="47" t="s">
        <v>71</v>
      </c>
      <c r="B106" s="48"/>
      <c r="C106" s="48"/>
      <c r="D106" s="49"/>
      <c r="E106" s="51">
        <f>IF(E108&gt;0,E108-E105,0)</f>
        <v>23536.25578</v>
      </c>
      <c r="F106" s="48"/>
      <c r="G106" s="52"/>
    </row>
    <row r="107" ht="14.25" customHeight="1">
      <c r="A107" s="53" t="s">
        <v>73</v>
      </c>
      <c r="B107" s="48"/>
      <c r="C107" s="48"/>
      <c r="D107" s="49"/>
      <c r="E107" s="56">
        <f>IFERROR(E105/E108,0)</f>
        <v>0.3275355492</v>
      </c>
      <c r="F107" s="48"/>
      <c r="G107" s="52"/>
    </row>
    <row r="108" ht="14.25" customHeight="1">
      <c r="A108" s="47" t="s">
        <v>11</v>
      </c>
      <c r="B108" s="48"/>
      <c r="C108" s="48"/>
      <c r="D108" s="49"/>
      <c r="E108" s="58">
        <v>35000.0</v>
      </c>
      <c r="F108" s="48"/>
      <c r="G108" s="52"/>
    </row>
    <row r="109" ht="14.25" customHeight="1">
      <c r="D109" s="60"/>
    </row>
    <row r="110" ht="14.25" customHeight="1">
      <c r="A110" s="4" t="s">
        <v>251</v>
      </c>
    </row>
    <row r="111" ht="14.25" customHeight="1">
      <c r="A111" s="6" t="s">
        <v>8</v>
      </c>
      <c r="B111" s="8" t="s">
        <v>10</v>
      </c>
      <c r="C111" s="8" t="s">
        <v>12</v>
      </c>
      <c r="D111" s="10" t="s">
        <v>13</v>
      </c>
      <c r="E111" s="8" t="s">
        <v>16</v>
      </c>
      <c r="F111" s="8" t="s">
        <v>17</v>
      </c>
      <c r="G111" s="13" t="s">
        <v>18</v>
      </c>
    </row>
    <row r="112" ht="14.25" customHeight="1">
      <c r="A112" s="14" t="s">
        <v>212</v>
      </c>
      <c r="B112" s="15" t="s">
        <v>22</v>
      </c>
      <c r="C112" s="17">
        <f>'WIP FOOD'!$B$543</f>
        <v>1225.731863</v>
      </c>
      <c r="D112" s="19">
        <v>2.0</v>
      </c>
      <c r="E112" s="17">
        <f t="shared" ref="E112:E119" si="7">IFERROR(C112*D112,0)</f>
        <v>2451.463727</v>
      </c>
      <c r="F112" s="15" t="s">
        <v>322</v>
      </c>
      <c r="G112" s="24"/>
    </row>
    <row r="113" ht="14.25" customHeight="1">
      <c r="A113" s="25" t="s">
        <v>331</v>
      </c>
      <c r="B113" s="26" t="s">
        <v>24</v>
      </c>
      <c r="C113" s="28">
        <f>IFERROR(VLOOKUP(A113,'Market List'!$B:$F,5,FALSE),0)</f>
        <v>16</v>
      </c>
      <c r="D113" s="30">
        <v>100.0</v>
      </c>
      <c r="E113" s="28">
        <f t="shared" si="7"/>
        <v>1600</v>
      </c>
      <c r="F113" s="26" t="s">
        <v>325</v>
      </c>
      <c r="G113" s="32"/>
    </row>
    <row r="114" ht="14.25" customHeight="1">
      <c r="A114" s="25" t="s">
        <v>35</v>
      </c>
      <c r="B114" s="26" t="s">
        <v>24</v>
      </c>
      <c r="C114" s="28">
        <f>'WIP FOOD'!$B$452</f>
        <v>74.82275545</v>
      </c>
      <c r="D114" s="30">
        <v>30.0</v>
      </c>
      <c r="E114" s="28">
        <f t="shared" si="7"/>
        <v>2244.682663</v>
      </c>
      <c r="F114" s="26" t="s">
        <v>326</v>
      </c>
      <c r="G114" s="32"/>
    </row>
    <row r="115" ht="14.25" customHeight="1">
      <c r="A115" s="25" t="s">
        <v>349</v>
      </c>
      <c r="B115" s="26" t="s">
        <v>24</v>
      </c>
      <c r="C115" s="28">
        <f>'WIP FOOD'!$B$72</f>
        <v>120.1185762</v>
      </c>
      <c r="D115" s="30">
        <v>10.0</v>
      </c>
      <c r="E115" s="28">
        <f t="shared" si="7"/>
        <v>1201.185762</v>
      </c>
      <c r="F115" s="26" t="s">
        <v>400</v>
      </c>
      <c r="G115" s="32"/>
    </row>
    <row r="116" ht="14.25" customHeight="1">
      <c r="A116" s="25"/>
      <c r="B116" s="26"/>
      <c r="C116" s="28"/>
      <c r="D116" s="30"/>
      <c r="E116" s="28">
        <f t="shared" si="7"/>
        <v>0</v>
      </c>
      <c r="F116" s="26"/>
      <c r="G116" s="32"/>
    </row>
    <row r="117" ht="14.25" customHeight="1">
      <c r="A117" s="25"/>
      <c r="B117" s="26"/>
      <c r="C117" s="28"/>
      <c r="D117" s="30"/>
      <c r="E117" s="28">
        <f t="shared" si="7"/>
        <v>0</v>
      </c>
      <c r="F117" s="26"/>
      <c r="G117" s="32"/>
    </row>
    <row r="118" ht="14.25" customHeight="1">
      <c r="A118" s="25"/>
      <c r="B118" s="26"/>
      <c r="C118" s="28"/>
      <c r="D118" s="30"/>
      <c r="E118" s="28">
        <f t="shared" si="7"/>
        <v>0</v>
      </c>
      <c r="F118" s="26"/>
      <c r="G118" s="32"/>
    </row>
    <row r="119" ht="14.25" customHeight="1">
      <c r="A119" s="36"/>
      <c r="B119" s="37"/>
      <c r="C119" s="38"/>
      <c r="D119" s="39"/>
      <c r="E119" s="38">
        <f t="shared" si="7"/>
        <v>0</v>
      </c>
      <c r="F119" s="37"/>
      <c r="G119" s="41"/>
    </row>
    <row r="120" ht="14.25" customHeight="1">
      <c r="A120" s="42" t="s">
        <v>62</v>
      </c>
      <c r="B120" s="43"/>
      <c r="C120" s="43"/>
      <c r="D120" s="45"/>
      <c r="E120" s="43">
        <v>0.0</v>
      </c>
      <c r="F120" s="43"/>
      <c r="G120" s="46"/>
    </row>
    <row r="121" ht="14.25" customHeight="1">
      <c r="A121" s="47" t="s">
        <v>64</v>
      </c>
      <c r="B121" s="48"/>
      <c r="C121" s="48"/>
      <c r="D121" s="49"/>
      <c r="E121" s="51">
        <f>SUM(E112:E120)</f>
        <v>7497.332152</v>
      </c>
      <c r="F121" s="48" t="s">
        <v>66</v>
      </c>
      <c r="G121" s="52"/>
    </row>
    <row r="122" ht="14.25" customHeight="1">
      <c r="A122" s="47" t="s">
        <v>67</v>
      </c>
      <c r="B122" s="48"/>
      <c r="C122" s="48"/>
      <c r="D122" s="49"/>
      <c r="E122" s="51">
        <f>E121*15%</f>
        <v>1124.599823</v>
      </c>
      <c r="F122" s="48" t="s">
        <v>69</v>
      </c>
      <c r="G122" s="52"/>
    </row>
    <row r="123" ht="14.25" customHeight="1">
      <c r="A123" s="47" t="s">
        <v>70</v>
      </c>
      <c r="B123" s="48"/>
      <c r="C123" s="48"/>
      <c r="D123" s="49"/>
      <c r="E123" s="51">
        <f>E121+E122</f>
        <v>8621.931975</v>
      </c>
      <c r="F123" s="48"/>
      <c r="G123" s="52"/>
    </row>
    <row r="124" ht="14.25" customHeight="1">
      <c r="A124" s="47" t="s">
        <v>71</v>
      </c>
      <c r="B124" s="48"/>
      <c r="C124" s="48"/>
      <c r="D124" s="49"/>
      <c r="E124" s="51">
        <f>IF(E126&gt;0,E126-E123,0)</f>
        <v>26378.06802</v>
      </c>
      <c r="F124" s="48"/>
      <c r="G124" s="52"/>
    </row>
    <row r="125" ht="14.25" customHeight="1">
      <c r="A125" s="53" t="s">
        <v>73</v>
      </c>
      <c r="B125" s="48"/>
      <c r="C125" s="48"/>
      <c r="D125" s="49"/>
      <c r="E125" s="56">
        <f>IFERROR(E123/E126,0)</f>
        <v>0.2463409136</v>
      </c>
      <c r="F125" s="48"/>
      <c r="G125" s="52"/>
    </row>
    <row r="126" ht="14.25" customHeight="1">
      <c r="A126" s="47" t="s">
        <v>11</v>
      </c>
      <c r="B126" s="48"/>
      <c r="C126" s="48"/>
      <c r="D126" s="49"/>
      <c r="E126" s="58">
        <v>35000.0</v>
      </c>
      <c r="F126" s="48"/>
      <c r="G126" s="52"/>
    </row>
    <row r="127" ht="14.25" customHeight="1">
      <c r="D127" s="60"/>
    </row>
    <row r="128" ht="14.25" customHeight="1">
      <c r="A128" s="4" t="s">
        <v>254</v>
      </c>
    </row>
    <row r="129" ht="14.25" customHeight="1">
      <c r="A129" s="6" t="s">
        <v>8</v>
      </c>
      <c r="B129" s="8" t="s">
        <v>10</v>
      </c>
      <c r="C129" s="8" t="s">
        <v>12</v>
      </c>
      <c r="D129" s="10" t="s">
        <v>13</v>
      </c>
      <c r="E129" s="8" t="s">
        <v>16</v>
      </c>
      <c r="F129" s="8" t="s">
        <v>17</v>
      </c>
      <c r="G129" s="13" t="s">
        <v>18</v>
      </c>
    </row>
    <row r="130" ht="14.25" customHeight="1">
      <c r="A130" s="14" t="s">
        <v>226</v>
      </c>
      <c r="B130" s="15"/>
      <c r="C130" s="17">
        <f>IFERROR(VLOOKUP(A130,'Market List'!$B:$F,5,FALSE),0)</f>
        <v>132</v>
      </c>
      <c r="D130" s="19"/>
      <c r="E130" s="17">
        <f t="shared" ref="E130:E137" si="8">IFERROR(C130*D130,0)</f>
        <v>0</v>
      </c>
      <c r="F130" s="15" t="s">
        <v>406</v>
      </c>
      <c r="G130" s="24"/>
    </row>
    <row r="131" ht="14.25" customHeight="1">
      <c r="A131" s="25"/>
      <c r="B131" s="26"/>
      <c r="C131" s="28"/>
      <c r="D131" s="30"/>
      <c r="E131" s="28">
        <f t="shared" si="8"/>
        <v>0</v>
      </c>
      <c r="F131" s="26"/>
      <c r="G131" s="32"/>
    </row>
    <row r="132" ht="14.25" customHeight="1">
      <c r="A132" s="25"/>
      <c r="B132" s="26"/>
      <c r="C132" s="28"/>
      <c r="D132" s="30"/>
      <c r="E132" s="28">
        <f t="shared" si="8"/>
        <v>0</v>
      </c>
      <c r="F132" s="26"/>
      <c r="G132" s="32"/>
    </row>
    <row r="133" ht="14.25" customHeight="1">
      <c r="A133" s="25"/>
      <c r="B133" s="26"/>
      <c r="C133" s="28"/>
      <c r="D133" s="30"/>
      <c r="E133" s="28">
        <f t="shared" si="8"/>
        <v>0</v>
      </c>
      <c r="F133" s="26"/>
      <c r="G133" s="32"/>
    </row>
    <row r="134" ht="14.25" customHeight="1">
      <c r="A134" s="25"/>
      <c r="B134" s="26"/>
      <c r="C134" s="28"/>
      <c r="D134" s="30"/>
      <c r="E134" s="28">
        <f t="shared" si="8"/>
        <v>0</v>
      </c>
      <c r="F134" s="26"/>
      <c r="G134" s="32"/>
    </row>
    <row r="135" ht="14.25" customHeight="1">
      <c r="A135" s="25"/>
      <c r="B135" s="26"/>
      <c r="C135" s="28"/>
      <c r="D135" s="30"/>
      <c r="E135" s="28">
        <f t="shared" si="8"/>
        <v>0</v>
      </c>
      <c r="F135" s="26"/>
      <c r="G135" s="32"/>
    </row>
    <row r="136" ht="14.25" customHeight="1">
      <c r="A136" s="25"/>
      <c r="B136" s="26"/>
      <c r="C136" s="28"/>
      <c r="D136" s="30"/>
      <c r="E136" s="28">
        <f t="shared" si="8"/>
        <v>0</v>
      </c>
      <c r="F136" s="26"/>
      <c r="G136" s="32"/>
    </row>
    <row r="137" ht="14.25" customHeight="1">
      <c r="A137" s="36"/>
      <c r="B137" s="37"/>
      <c r="C137" s="38"/>
      <c r="D137" s="39"/>
      <c r="E137" s="38">
        <f t="shared" si="8"/>
        <v>0</v>
      </c>
      <c r="F137" s="37"/>
      <c r="G137" s="41"/>
    </row>
    <row r="138" ht="14.25" customHeight="1">
      <c r="A138" s="42" t="s">
        <v>62</v>
      </c>
      <c r="B138" s="43"/>
      <c r="C138" s="43"/>
      <c r="D138" s="45"/>
      <c r="E138" s="43">
        <v>0.0</v>
      </c>
      <c r="F138" s="43"/>
      <c r="G138" s="46"/>
    </row>
    <row r="139" ht="14.25" customHeight="1">
      <c r="A139" s="47" t="s">
        <v>64</v>
      </c>
      <c r="B139" s="48"/>
      <c r="C139" s="48"/>
      <c r="D139" s="49"/>
      <c r="E139" s="51">
        <f>SUM(E130:E138)</f>
        <v>0</v>
      </c>
      <c r="F139" s="48" t="s">
        <v>66</v>
      </c>
      <c r="G139" s="52"/>
    </row>
    <row r="140" ht="14.25" customHeight="1">
      <c r="A140" s="47" t="s">
        <v>67</v>
      </c>
      <c r="B140" s="48"/>
      <c r="C140" s="48"/>
      <c r="D140" s="49"/>
      <c r="E140" s="51">
        <f>E139*15%</f>
        <v>0</v>
      </c>
      <c r="F140" s="48" t="s">
        <v>69</v>
      </c>
      <c r="G140" s="52"/>
    </row>
    <row r="141" ht="14.25" customHeight="1">
      <c r="A141" s="47" t="s">
        <v>70</v>
      </c>
      <c r="B141" s="48"/>
      <c r="C141" s="48"/>
      <c r="D141" s="49"/>
      <c r="E141" s="51">
        <f>E139+E140</f>
        <v>0</v>
      </c>
      <c r="F141" s="48"/>
      <c r="G141" s="52"/>
    </row>
    <row r="142" ht="14.25" customHeight="1">
      <c r="A142" s="47" t="s">
        <v>71</v>
      </c>
      <c r="B142" s="48"/>
      <c r="C142" s="48"/>
      <c r="D142" s="49"/>
      <c r="E142" s="51">
        <f>IF(E144&gt;0,E144-E141,0)</f>
        <v>0</v>
      </c>
      <c r="F142" s="48"/>
      <c r="G142" s="52"/>
    </row>
    <row r="143" ht="14.25" customHeight="1">
      <c r="A143" s="53" t="s">
        <v>73</v>
      </c>
      <c r="B143" s="48"/>
      <c r="C143" s="48"/>
      <c r="D143" s="49"/>
      <c r="E143" s="56">
        <f>IFERROR(E141/E144,0)</f>
        <v>0</v>
      </c>
      <c r="F143" s="48"/>
      <c r="G143" s="52"/>
    </row>
    <row r="144" ht="14.25" customHeight="1">
      <c r="A144" s="47" t="s">
        <v>11</v>
      </c>
      <c r="B144" s="48"/>
      <c r="C144" s="48"/>
      <c r="D144" s="49"/>
      <c r="E144" s="78"/>
      <c r="F144" s="48"/>
      <c r="G144" s="52"/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0:G110"/>
    <mergeCell ref="A128:G128"/>
    <mergeCell ref="A1:G1"/>
    <mergeCell ref="A2:G2"/>
    <mergeCell ref="A20:G20"/>
    <mergeCell ref="A38:G38"/>
    <mergeCell ref="A56:G56"/>
    <mergeCell ref="A74:G74"/>
    <mergeCell ref="A92:G9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256</v>
      </c>
      <c r="B1" s="2"/>
      <c r="C1" s="2"/>
      <c r="D1" s="2"/>
      <c r="E1" s="2"/>
      <c r="F1" s="2"/>
      <c r="G1" s="3"/>
    </row>
    <row r="2">
      <c r="A2" s="4" t="s">
        <v>257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341</v>
      </c>
      <c r="B4" s="15" t="s">
        <v>24</v>
      </c>
      <c r="C4" s="17">
        <f>IFERROR(VLOOKUP(A4,'Market List'!$B:$F,5,FALSE),0)</f>
        <v>0</v>
      </c>
      <c r="D4" s="19">
        <v>80.0</v>
      </c>
      <c r="E4" s="17">
        <f t="shared" ref="E4:E11" si="1">IFERROR(C4*D4,0)</f>
        <v>0</v>
      </c>
      <c r="F4" s="15" t="s">
        <v>342</v>
      </c>
      <c r="G4" s="24"/>
    </row>
    <row r="5" ht="14.25" customHeight="1">
      <c r="A5" s="25" t="s">
        <v>343</v>
      </c>
      <c r="B5" s="26" t="s">
        <v>24</v>
      </c>
      <c r="C5" s="28">
        <f>IFERROR(VLOOKUP(A5,'Market List'!$B:$F,5,FALSE),0)</f>
        <v>41.26</v>
      </c>
      <c r="D5" s="30">
        <v>160.0</v>
      </c>
      <c r="E5" s="28">
        <f t="shared" si="1"/>
        <v>6601.6</v>
      </c>
      <c r="F5" s="26" t="s">
        <v>344</v>
      </c>
      <c r="G5" s="32"/>
    </row>
    <row r="6" ht="14.25" customHeight="1">
      <c r="A6" s="25" t="s">
        <v>53</v>
      </c>
      <c r="B6" s="26" t="s">
        <v>24</v>
      </c>
      <c r="C6" s="28">
        <f>'WIP FOOD'!$B$218</f>
        <v>362.7209213</v>
      </c>
      <c r="D6" s="30">
        <v>3.0</v>
      </c>
      <c r="E6" s="28">
        <f t="shared" si="1"/>
        <v>1088.162764</v>
      </c>
      <c r="F6" s="26" t="s">
        <v>345</v>
      </c>
      <c r="G6" s="32"/>
    </row>
    <row r="7" ht="14.25" customHeight="1">
      <c r="A7" s="86" t="s">
        <v>346</v>
      </c>
      <c r="B7" s="26" t="s">
        <v>22</v>
      </c>
      <c r="C7" s="28">
        <f>IFERROR(VLOOKUP(A7,'Market List'!$B:$F,5,FALSE),0)</f>
        <v>1785.714286</v>
      </c>
      <c r="D7" s="30">
        <v>1.0</v>
      </c>
      <c r="E7" s="28">
        <f t="shared" si="1"/>
        <v>1785.714286</v>
      </c>
      <c r="F7" s="26" t="s">
        <v>347</v>
      </c>
      <c r="G7" s="32"/>
    </row>
    <row r="8" ht="14.25" customHeight="1">
      <c r="A8" s="25" t="s">
        <v>36</v>
      </c>
      <c r="B8" s="26" t="s">
        <v>24</v>
      </c>
      <c r="C8" s="28">
        <f>IFERROR(VLOOKUP(A8,'Market List'!$B:$F,5,FALSE),0)</f>
        <v>20</v>
      </c>
      <c r="D8" s="30">
        <v>3.0</v>
      </c>
      <c r="E8" s="28">
        <f t="shared" si="1"/>
        <v>60</v>
      </c>
      <c r="F8" s="26"/>
      <c r="G8" s="32"/>
    </row>
    <row r="9" ht="14.25" customHeight="1">
      <c r="A9" s="25" t="s">
        <v>349</v>
      </c>
      <c r="B9" s="26" t="s">
        <v>24</v>
      </c>
      <c r="C9" s="28">
        <f>'WIP FOOD'!$B$72</f>
        <v>120.1185762</v>
      </c>
      <c r="D9" s="30">
        <v>15.0</v>
      </c>
      <c r="E9" s="28">
        <f t="shared" si="1"/>
        <v>1801.778643</v>
      </c>
      <c r="F9" s="26"/>
      <c r="G9" s="32"/>
    </row>
    <row r="10" ht="14.25" customHeight="1">
      <c r="A10" s="25" t="s">
        <v>352</v>
      </c>
      <c r="B10" s="26" t="s">
        <v>24</v>
      </c>
      <c r="C10" s="28">
        <f>IFERROR(VLOOKUP(A10,'Market List'!$B:$F,5,FALSE),0)</f>
        <v>140</v>
      </c>
      <c r="D10" s="30">
        <v>8.0</v>
      </c>
      <c r="E10" s="28">
        <f t="shared" si="1"/>
        <v>1120</v>
      </c>
      <c r="F10" s="26"/>
      <c r="G10" s="32"/>
    </row>
    <row r="11" ht="14.25" customHeight="1">
      <c r="A11" s="36" t="s">
        <v>103</v>
      </c>
      <c r="B11" s="37" t="s">
        <v>24</v>
      </c>
      <c r="C11" s="38">
        <f>IFERROR(VLOOKUP(A11,'Market List'!$B:$F,5,FALSE),0)</f>
        <v>35</v>
      </c>
      <c r="D11" s="39">
        <v>8.0</v>
      </c>
      <c r="E11" s="38">
        <f t="shared" si="1"/>
        <v>280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12737.25569</v>
      </c>
      <c r="F13" s="48" t="s">
        <v>66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1910.588354</v>
      </c>
      <c r="F14" s="48" t="s">
        <v>69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14647.84405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60352.15595</v>
      </c>
      <c r="F16" s="48"/>
      <c r="G16" s="52"/>
    </row>
    <row r="17" ht="14.25" customHeight="1">
      <c r="A17" s="53" t="s">
        <v>73</v>
      </c>
      <c r="B17" s="48"/>
      <c r="C17" s="48"/>
      <c r="D17" s="49"/>
      <c r="E17" s="56">
        <f>IFERROR(E15/E18,0)</f>
        <v>0.1953045873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58">
        <v>75000.0</v>
      </c>
      <c r="F18" s="48"/>
      <c r="G18" s="52"/>
    </row>
    <row r="19" ht="14.25" customHeight="1">
      <c r="D19" s="60"/>
    </row>
    <row r="20">
      <c r="A20" s="4" t="s">
        <v>260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 t="s">
        <v>159</v>
      </c>
      <c r="B22" s="15" t="s">
        <v>24</v>
      </c>
      <c r="C22" s="17">
        <f>IFERROR(VLOOKUP(A22,'Market List'!$B:$F,5,FALSE),0)</f>
        <v>0</v>
      </c>
      <c r="D22" s="19">
        <v>80.0</v>
      </c>
      <c r="E22" s="17">
        <f t="shared" ref="E22:E29" si="2">IFERROR(C22*D22,0)</f>
        <v>0</v>
      </c>
      <c r="F22" s="15" t="s">
        <v>357</v>
      </c>
      <c r="G22" s="24"/>
    </row>
    <row r="23" ht="14.25" customHeight="1">
      <c r="A23" s="25" t="s">
        <v>343</v>
      </c>
      <c r="B23" s="26" t="s">
        <v>24</v>
      </c>
      <c r="C23" s="28">
        <f>IFERROR(VLOOKUP(A23,'Market List'!$B:$F,5,FALSE),0)</f>
        <v>41.26</v>
      </c>
      <c r="D23" s="30">
        <v>160.0</v>
      </c>
      <c r="E23" s="28">
        <f t="shared" si="2"/>
        <v>6601.6</v>
      </c>
      <c r="F23" s="26" t="s">
        <v>344</v>
      </c>
      <c r="G23" s="32"/>
    </row>
    <row r="24" ht="14.25" customHeight="1">
      <c r="A24" s="25" t="s">
        <v>53</v>
      </c>
      <c r="B24" s="26" t="s">
        <v>24</v>
      </c>
      <c r="C24" s="28">
        <f>'WIP FOOD'!$B$218</f>
        <v>362.7209213</v>
      </c>
      <c r="D24" s="30">
        <v>3.0</v>
      </c>
      <c r="E24" s="28">
        <f t="shared" si="2"/>
        <v>1088.162764</v>
      </c>
      <c r="F24" s="26" t="s">
        <v>345</v>
      </c>
      <c r="G24" s="32"/>
    </row>
    <row r="25" ht="14.25" customHeight="1">
      <c r="A25" s="86" t="s">
        <v>346</v>
      </c>
      <c r="B25" s="26" t="s">
        <v>22</v>
      </c>
      <c r="C25" s="28">
        <f>IFERROR(VLOOKUP(A25,'Market List'!$B:$F,5,FALSE),0)</f>
        <v>1785.714286</v>
      </c>
      <c r="D25" s="30">
        <v>1.0</v>
      </c>
      <c r="E25" s="28">
        <f t="shared" si="2"/>
        <v>1785.714286</v>
      </c>
      <c r="F25" s="26" t="s">
        <v>347</v>
      </c>
      <c r="G25" s="32"/>
    </row>
    <row r="26" ht="14.25" customHeight="1">
      <c r="A26" s="25" t="s">
        <v>36</v>
      </c>
      <c r="B26" s="26" t="s">
        <v>24</v>
      </c>
      <c r="C26" s="28">
        <f>IFERROR(VLOOKUP(A26,'Market List'!$B:$F,5,FALSE),0)</f>
        <v>20</v>
      </c>
      <c r="D26" s="30">
        <v>3.0</v>
      </c>
      <c r="E26" s="28">
        <f t="shared" si="2"/>
        <v>60</v>
      </c>
      <c r="F26" s="26"/>
      <c r="G26" s="32"/>
    </row>
    <row r="27" ht="14.25" customHeight="1">
      <c r="A27" s="25" t="s">
        <v>349</v>
      </c>
      <c r="B27" s="26" t="s">
        <v>24</v>
      </c>
      <c r="C27" s="28">
        <f>'WIP FOOD'!$B$72</f>
        <v>120.1185762</v>
      </c>
      <c r="D27" s="30">
        <v>15.0</v>
      </c>
      <c r="E27" s="28">
        <f t="shared" si="2"/>
        <v>1801.778643</v>
      </c>
      <c r="F27" s="26"/>
      <c r="G27" s="32"/>
    </row>
    <row r="28" ht="14.25" customHeight="1">
      <c r="A28" s="25" t="s">
        <v>352</v>
      </c>
      <c r="B28" s="26" t="s">
        <v>24</v>
      </c>
      <c r="C28" s="28">
        <f>IFERROR(VLOOKUP(A28,'Market List'!$B:$F,5,FALSE),0)</f>
        <v>140</v>
      </c>
      <c r="D28" s="30">
        <v>8.0</v>
      </c>
      <c r="E28" s="28">
        <f t="shared" si="2"/>
        <v>1120</v>
      </c>
      <c r="F28" s="26"/>
      <c r="G28" s="32"/>
    </row>
    <row r="29" ht="14.25" customHeight="1">
      <c r="A29" s="36" t="s">
        <v>103</v>
      </c>
      <c r="B29" s="37" t="s">
        <v>24</v>
      </c>
      <c r="C29" s="38">
        <f>IFERROR(VLOOKUP(A29,'Market List'!$B:$F,5,FALSE),0)</f>
        <v>35</v>
      </c>
      <c r="D29" s="39">
        <v>8.0</v>
      </c>
      <c r="E29" s="38">
        <f t="shared" si="2"/>
        <v>280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12737.25569</v>
      </c>
      <c r="F31" s="48" t="s">
        <v>66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1910.588354</v>
      </c>
      <c r="F32" s="48" t="s">
        <v>69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14647.84405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55352.15595</v>
      </c>
      <c r="F34" s="48"/>
      <c r="G34" s="52"/>
    </row>
    <row r="35" ht="14.25" customHeight="1">
      <c r="A35" s="53" t="s">
        <v>73</v>
      </c>
      <c r="B35" s="48"/>
      <c r="C35" s="48"/>
      <c r="D35" s="49"/>
      <c r="E35" s="56">
        <f>IFERROR(E33/E36,0)</f>
        <v>0.209254915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58">
        <v>70000.0</v>
      </c>
      <c r="F36" s="48"/>
      <c r="G36" s="52"/>
    </row>
    <row r="37" ht="14.25" customHeight="1">
      <c r="D37" s="60"/>
    </row>
    <row r="38">
      <c r="A38" s="4" t="s">
        <v>262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 t="s">
        <v>373</v>
      </c>
      <c r="B40" s="15" t="s">
        <v>24</v>
      </c>
      <c r="C40" s="17">
        <f>IFERROR(VLOOKUP(A40,'Market List'!$B:$F,5,FALSE),0)</f>
        <v>254.5</v>
      </c>
      <c r="D40" s="19">
        <v>80.0</v>
      </c>
      <c r="E40" s="17">
        <f t="shared" ref="E40:E47" si="3">IFERROR(C40*D40,0)</f>
        <v>20360</v>
      </c>
      <c r="F40" s="15" t="s">
        <v>376</v>
      </c>
      <c r="G40" s="24"/>
    </row>
    <row r="41" ht="14.25" customHeight="1">
      <c r="A41" s="25" t="s">
        <v>343</v>
      </c>
      <c r="B41" s="26" t="s">
        <v>24</v>
      </c>
      <c r="C41" s="28">
        <f>IFERROR(VLOOKUP(A41,'Market List'!$B:$F,5,FALSE),0)</f>
        <v>41.26</v>
      </c>
      <c r="D41" s="30">
        <v>160.0</v>
      </c>
      <c r="E41" s="28">
        <f t="shared" si="3"/>
        <v>6601.6</v>
      </c>
      <c r="F41" s="26" t="s">
        <v>344</v>
      </c>
      <c r="G41" s="32"/>
    </row>
    <row r="42" ht="14.25" customHeight="1">
      <c r="A42" s="25" t="s">
        <v>53</v>
      </c>
      <c r="B42" s="26" t="s">
        <v>24</v>
      </c>
      <c r="C42" s="28">
        <f>'WIP FOOD'!$B$218</f>
        <v>362.7209213</v>
      </c>
      <c r="D42" s="30">
        <v>3.0</v>
      </c>
      <c r="E42" s="28">
        <f t="shared" si="3"/>
        <v>1088.162764</v>
      </c>
      <c r="F42" s="26" t="s">
        <v>382</v>
      </c>
      <c r="G42" s="32"/>
    </row>
    <row r="43" ht="14.25" customHeight="1">
      <c r="A43" s="86" t="s">
        <v>346</v>
      </c>
      <c r="B43" s="26" t="s">
        <v>22</v>
      </c>
      <c r="C43" s="28">
        <f>IFERROR(VLOOKUP(A43,'Market List'!$B:$F,5,FALSE),0)</f>
        <v>1785.714286</v>
      </c>
      <c r="D43" s="30">
        <v>1.0</v>
      </c>
      <c r="E43" s="28">
        <f t="shared" si="3"/>
        <v>1785.714286</v>
      </c>
      <c r="F43" s="26" t="s">
        <v>347</v>
      </c>
      <c r="G43" s="32"/>
    </row>
    <row r="44" ht="14.25" customHeight="1">
      <c r="A44" s="25" t="s">
        <v>36</v>
      </c>
      <c r="B44" s="26" t="s">
        <v>24</v>
      </c>
      <c r="C44" s="28">
        <f>IFERROR(VLOOKUP(A44,'Market List'!$B:$F,5,FALSE),0)</f>
        <v>20</v>
      </c>
      <c r="D44" s="30">
        <v>3.0</v>
      </c>
      <c r="E44" s="28">
        <f t="shared" si="3"/>
        <v>60</v>
      </c>
      <c r="F44" s="26" t="s">
        <v>384</v>
      </c>
      <c r="G44" s="32"/>
    </row>
    <row r="45" ht="14.25" customHeight="1">
      <c r="A45" s="25" t="s">
        <v>349</v>
      </c>
      <c r="B45" s="26" t="s">
        <v>24</v>
      </c>
      <c r="C45" s="28">
        <f>'WIP FOOD'!$B$72</f>
        <v>120.1185762</v>
      </c>
      <c r="D45" s="30">
        <v>15.0</v>
      </c>
      <c r="E45" s="28">
        <f t="shared" si="3"/>
        <v>1801.778643</v>
      </c>
      <c r="F45" s="26"/>
      <c r="G45" s="32"/>
    </row>
    <row r="46" ht="14.25" customHeight="1">
      <c r="A46" s="25" t="s">
        <v>352</v>
      </c>
      <c r="B46" s="26" t="s">
        <v>24</v>
      </c>
      <c r="C46" s="28">
        <f>IFERROR(VLOOKUP(A46,'Market List'!$B:$F,5,FALSE),0)</f>
        <v>140</v>
      </c>
      <c r="D46" s="30">
        <v>8.0</v>
      </c>
      <c r="E46" s="28">
        <f t="shared" si="3"/>
        <v>1120</v>
      </c>
      <c r="F46" s="26"/>
      <c r="G46" s="32"/>
    </row>
    <row r="47" ht="14.25" customHeight="1">
      <c r="A47" s="36" t="s">
        <v>103</v>
      </c>
      <c r="B47" s="37" t="s">
        <v>24</v>
      </c>
      <c r="C47" s="38">
        <f>IFERROR(VLOOKUP(A47,'Market List'!$B:$F,5,FALSE),0)</f>
        <v>35</v>
      </c>
      <c r="D47" s="39">
        <v>8.0</v>
      </c>
      <c r="E47" s="38">
        <f t="shared" si="3"/>
        <v>280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33097.25569</v>
      </c>
      <c r="F49" s="48" t="s">
        <v>66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4964.588354</v>
      </c>
      <c r="F50" s="48" t="s">
        <v>69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38061.84405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41938.15595</v>
      </c>
      <c r="F52" s="48"/>
      <c r="G52" s="52"/>
    </row>
    <row r="53" ht="14.25" customHeight="1">
      <c r="A53" s="53" t="s">
        <v>73</v>
      </c>
      <c r="B53" s="48"/>
      <c r="C53" s="48"/>
      <c r="D53" s="49"/>
      <c r="E53" s="56">
        <f>IFERROR(E51/E54,0)</f>
        <v>0.4757730506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58">
        <v>80000.0</v>
      </c>
      <c r="F54" s="48"/>
      <c r="G54" s="52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20:G20"/>
    <mergeCell ref="A38:G3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264</v>
      </c>
      <c r="B1" s="2"/>
      <c r="C1" s="2"/>
      <c r="D1" s="2"/>
      <c r="E1" s="2"/>
      <c r="F1" s="2"/>
      <c r="G1" s="3"/>
    </row>
    <row r="2" ht="14.25" customHeight="1">
      <c r="A2" s="4" t="s">
        <v>266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360</v>
      </c>
      <c r="B4" s="15" t="s">
        <v>24</v>
      </c>
      <c r="C4" s="17">
        <f>IFERROR(VLOOKUP(A4,'Market List'!$B:$F,5,FALSE),0)</f>
        <v>28.07017544</v>
      </c>
      <c r="D4" s="19">
        <v>80.0</v>
      </c>
      <c r="E4" s="17">
        <f t="shared" ref="E4:E13" si="1">IFERROR(C4*D4,0)</f>
        <v>2245.614035</v>
      </c>
      <c r="F4" s="15" t="s">
        <v>361</v>
      </c>
      <c r="G4" s="24"/>
    </row>
    <row r="5" ht="14.25" customHeight="1">
      <c r="A5" s="25" t="s">
        <v>362</v>
      </c>
      <c r="B5" s="26" t="s">
        <v>59</v>
      </c>
      <c r="C5" s="28">
        <f>'WIP FOOD'!$B$391</f>
        <v>8.738938053</v>
      </c>
      <c r="D5" s="30">
        <v>240.0</v>
      </c>
      <c r="E5" s="28">
        <f t="shared" si="1"/>
        <v>2097.345133</v>
      </c>
      <c r="F5" s="26" t="s">
        <v>363</v>
      </c>
      <c r="G5" s="32"/>
    </row>
    <row r="6" ht="14.25" customHeight="1">
      <c r="A6" s="25" t="s">
        <v>365</v>
      </c>
      <c r="B6" s="26" t="s">
        <v>24</v>
      </c>
      <c r="C6" s="28">
        <f>IFERROR(VLOOKUP(A6,'Market List'!$B:$F,5,FALSE),0)</f>
        <v>86</v>
      </c>
      <c r="D6" s="30">
        <v>1.0</v>
      </c>
      <c r="E6" s="28">
        <f t="shared" si="1"/>
        <v>86</v>
      </c>
      <c r="F6" s="26" t="s">
        <v>366</v>
      </c>
      <c r="G6" s="32"/>
    </row>
    <row r="7" ht="14.25" customHeight="1">
      <c r="A7" s="25" t="s">
        <v>367</v>
      </c>
      <c r="B7" s="26" t="s">
        <v>24</v>
      </c>
      <c r="C7" s="28">
        <f>IFERROR(VLOOKUP(A7,'Market List'!$B:$F,5,FALSE),0)</f>
        <v>200</v>
      </c>
      <c r="D7" s="30" t="s">
        <v>370</v>
      </c>
      <c r="E7" s="28">
        <f t="shared" si="1"/>
        <v>100</v>
      </c>
      <c r="F7" s="26" t="s">
        <v>371</v>
      </c>
      <c r="G7" s="32"/>
    </row>
    <row r="8" ht="14.25" customHeight="1">
      <c r="A8" s="25" t="s">
        <v>349</v>
      </c>
      <c r="B8" s="26" t="s">
        <v>24</v>
      </c>
      <c r="C8" s="28">
        <f>'WIP FOOD'!$B$72</f>
        <v>120.1185762</v>
      </c>
      <c r="D8" s="30">
        <v>35.0</v>
      </c>
      <c r="E8" s="28">
        <f t="shared" si="1"/>
        <v>4204.150167</v>
      </c>
      <c r="F8" s="26"/>
      <c r="G8" s="32"/>
    </row>
    <row r="9" ht="14.25" customHeight="1">
      <c r="A9" s="25" t="s">
        <v>212</v>
      </c>
      <c r="B9" s="26" t="s">
        <v>24</v>
      </c>
      <c r="C9" s="28">
        <f>'WIP FOOD'!$B$543</f>
        <v>1225.731863</v>
      </c>
      <c r="D9" s="30">
        <v>28.0</v>
      </c>
      <c r="E9" s="28">
        <f t="shared" si="1"/>
        <v>34320.49218</v>
      </c>
      <c r="F9" s="26"/>
      <c r="G9" s="32"/>
    </row>
    <row r="10" ht="14.25" customHeight="1">
      <c r="A10" s="25" t="s">
        <v>377</v>
      </c>
      <c r="B10" s="26" t="s">
        <v>24</v>
      </c>
      <c r="C10" s="28">
        <f>IFERROR(VLOOKUP(A10,'Market List'!$B:$F,5,FALSE),0)</f>
        <v>254.5</v>
      </c>
      <c r="D10" s="30">
        <v>10.0</v>
      </c>
      <c r="E10" s="28">
        <f t="shared" si="1"/>
        <v>2545</v>
      </c>
      <c r="F10" s="26" t="s">
        <v>379</v>
      </c>
      <c r="G10" s="32"/>
    </row>
    <row r="11" ht="14.25" customHeight="1">
      <c r="A11" s="25" t="s">
        <v>380</v>
      </c>
      <c r="B11" s="26" t="s">
        <v>24</v>
      </c>
      <c r="C11" s="28">
        <f>IFERROR(VLOOKUP(A11,'Market List'!$B:$F,5,FALSE),0)</f>
        <v>0</v>
      </c>
      <c r="D11" s="30">
        <v>4.0</v>
      </c>
      <c r="E11" s="28">
        <f t="shared" si="1"/>
        <v>0</v>
      </c>
      <c r="F11" s="26"/>
      <c r="G11" s="32"/>
    </row>
    <row r="12" ht="14.25" customHeight="1">
      <c r="A12" s="25" t="s">
        <v>36</v>
      </c>
      <c r="B12" s="26" t="s">
        <v>24</v>
      </c>
      <c r="C12" s="28">
        <f>IFERROR(VLOOKUP(A12,'Market List'!$B:$F,5,FALSE),0)</f>
        <v>20</v>
      </c>
      <c r="D12" s="30">
        <v>4.0</v>
      </c>
      <c r="E12" s="28">
        <f t="shared" si="1"/>
        <v>80</v>
      </c>
      <c r="F12" s="26"/>
      <c r="G12" s="32"/>
    </row>
    <row r="13" ht="14.25" customHeight="1">
      <c r="A13" s="36" t="s">
        <v>383</v>
      </c>
      <c r="B13" s="37" t="s">
        <v>385</v>
      </c>
      <c r="C13" s="38">
        <f>IFERROR(VLOOKUP(A13,'Market List'!$B:$F,5,FALSE),0)</f>
        <v>3600</v>
      </c>
      <c r="D13" s="39" t="s">
        <v>370</v>
      </c>
      <c r="E13" s="38">
        <f t="shared" si="1"/>
        <v>1800</v>
      </c>
      <c r="F13" s="37"/>
      <c r="G13" s="41"/>
    </row>
    <row r="14" ht="14.25" customHeight="1">
      <c r="A14" s="42" t="s">
        <v>62</v>
      </c>
      <c r="B14" s="43"/>
      <c r="C14" s="43"/>
      <c r="D14" s="45"/>
      <c r="E14" s="43">
        <v>0.0</v>
      </c>
      <c r="F14" s="43"/>
      <c r="G14" s="46"/>
    </row>
    <row r="15" ht="14.25" customHeight="1">
      <c r="A15" s="47" t="s">
        <v>64</v>
      </c>
      <c r="B15" s="48"/>
      <c r="C15" s="48"/>
      <c r="D15" s="49"/>
      <c r="E15" s="51">
        <f>SUM(E4:E14)</f>
        <v>47478.60151</v>
      </c>
      <c r="F15" s="48" t="s">
        <v>66</v>
      </c>
      <c r="G15" s="52"/>
    </row>
    <row r="16" ht="14.25" customHeight="1">
      <c r="A16" s="47" t="s">
        <v>67</v>
      </c>
      <c r="B16" s="48"/>
      <c r="C16" s="48"/>
      <c r="D16" s="49"/>
      <c r="E16" s="51">
        <f>E15*15%</f>
        <v>7121.790227</v>
      </c>
      <c r="F16" s="48" t="s">
        <v>69</v>
      </c>
      <c r="G16" s="52"/>
    </row>
    <row r="17" ht="14.25" customHeight="1">
      <c r="A17" s="47" t="s">
        <v>70</v>
      </c>
      <c r="B17" s="48"/>
      <c r="C17" s="48"/>
      <c r="D17" s="49"/>
      <c r="E17" s="51">
        <f>E15+E16</f>
        <v>54600.39174</v>
      </c>
      <c r="F17" s="48"/>
      <c r="G17" s="52"/>
    </row>
    <row r="18" ht="14.25" customHeight="1">
      <c r="A18" s="47" t="s">
        <v>71</v>
      </c>
      <c r="B18" s="48"/>
      <c r="C18" s="48"/>
      <c r="D18" s="49"/>
      <c r="E18" s="51">
        <f>IF(E20&gt;0,E20-E17,0)</f>
        <v>0</v>
      </c>
      <c r="F18" s="48"/>
      <c r="G18" s="52"/>
    </row>
    <row r="19" ht="14.25" customHeight="1">
      <c r="A19" s="47" t="s">
        <v>388</v>
      </c>
      <c r="B19" s="48"/>
      <c r="C19" s="48"/>
      <c r="D19" s="49"/>
      <c r="E19" s="56">
        <f>IFERROR(E17/E20,0)</f>
        <v>0</v>
      </c>
      <c r="F19" s="48"/>
      <c r="G19" s="52"/>
    </row>
    <row r="20" ht="14.25" customHeight="1">
      <c r="A20" s="47" t="s">
        <v>11</v>
      </c>
      <c r="B20" s="48"/>
      <c r="C20" s="48"/>
      <c r="D20" s="49"/>
      <c r="E20" s="78"/>
      <c r="F20" s="48"/>
      <c r="G20" s="52"/>
    </row>
    <row r="21" ht="14.25" customHeight="1">
      <c r="D21" s="60"/>
    </row>
    <row r="22" ht="14.25" customHeight="1">
      <c r="A22" s="4" t="s">
        <v>268</v>
      </c>
    </row>
    <row r="23" ht="14.25" customHeight="1">
      <c r="A23" s="6" t="s">
        <v>8</v>
      </c>
      <c r="B23" s="8" t="s">
        <v>10</v>
      </c>
      <c r="C23" s="8" t="s">
        <v>12</v>
      </c>
      <c r="D23" s="10" t="s">
        <v>13</v>
      </c>
      <c r="E23" s="8" t="s">
        <v>16</v>
      </c>
      <c r="F23" s="8" t="s">
        <v>17</v>
      </c>
      <c r="G23" s="13" t="s">
        <v>18</v>
      </c>
    </row>
    <row r="24" ht="14.25" customHeight="1">
      <c r="A24" s="14" t="s">
        <v>360</v>
      </c>
      <c r="B24" s="15" t="s">
        <v>24</v>
      </c>
      <c r="C24" s="17">
        <f>IFERROR(VLOOKUP(A24,'Market List'!$B:$F,5,FALSE),0)</f>
        <v>28.07017544</v>
      </c>
      <c r="D24" s="19">
        <v>80.0</v>
      </c>
      <c r="E24" s="17">
        <f t="shared" ref="E24:E34" si="2">IFERROR(C24*D24,0)</f>
        <v>2245.614035</v>
      </c>
      <c r="F24" s="15" t="s">
        <v>394</v>
      </c>
      <c r="G24" s="24"/>
    </row>
    <row r="25" ht="14.25" customHeight="1">
      <c r="A25" s="25" t="s">
        <v>395</v>
      </c>
      <c r="B25" s="26" t="s">
        <v>59</v>
      </c>
      <c r="C25" s="28">
        <f>IFERROR(VLOOKUP(A25,'Market List'!$B:$F,5,FALSE),0)</f>
        <v>0</v>
      </c>
      <c r="D25" s="30">
        <v>240.0</v>
      </c>
      <c r="E25" s="28">
        <f t="shared" si="2"/>
        <v>0</v>
      </c>
      <c r="F25" s="26" t="s">
        <v>396</v>
      </c>
      <c r="G25" s="32"/>
    </row>
    <row r="26" ht="14.25" customHeight="1">
      <c r="A26" s="25" t="s">
        <v>397</v>
      </c>
      <c r="B26" s="26" t="s">
        <v>59</v>
      </c>
      <c r="C26" s="28">
        <f>'WIP FOOD'!$B$553</f>
        <v>45.94038658</v>
      </c>
      <c r="D26" s="30">
        <v>30.0</v>
      </c>
      <c r="E26" s="28">
        <f t="shared" si="2"/>
        <v>1378.211597</v>
      </c>
      <c r="F26" s="26" t="s">
        <v>366</v>
      </c>
      <c r="G26" s="32"/>
    </row>
    <row r="27" ht="14.25" customHeight="1">
      <c r="A27" s="25" t="s">
        <v>398</v>
      </c>
      <c r="B27" s="26" t="s">
        <v>24</v>
      </c>
      <c r="C27" s="28">
        <f>IFERROR(VLOOKUP(A27,'Market List'!$B:$F,5,FALSE),0)</f>
        <v>43.18181818</v>
      </c>
      <c r="D27" s="30">
        <v>1.0</v>
      </c>
      <c r="E27" s="28">
        <f t="shared" si="2"/>
        <v>43.18181818</v>
      </c>
      <c r="F27" s="26" t="s">
        <v>371</v>
      </c>
      <c r="G27" s="32"/>
    </row>
    <row r="28" ht="14.25" customHeight="1">
      <c r="A28" s="25" t="s">
        <v>365</v>
      </c>
      <c r="B28" s="26" t="s">
        <v>24</v>
      </c>
      <c r="C28" s="28">
        <f>IFERROR(VLOOKUP(A28,'Market List'!$B:$F,5,FALSE),0)</f>
        <v>86</v>
      </c>
      <c r="D28" s="30">
        <v>1.0</v>
      </c>
      <c r="E28" s="28">
        <f t="shared" si="2"/>
        <v>86</v>
      </c>
      <c r="F28" s="26"/>
      <c r="G28" s="32"/>
    </row>
    <row r="29" ht="14.25" customHeight="1">
      <c r="A29" s="25" t="s">
        <v>367</v>
      </c>
      <c r="B29" s="26" t="s">
        <v>24</v>
      </c>
      <c r="C29" s="28">
        <f>IFERROR(VLOOKUP(A29,'Market List'!$B:$F,5,FALSE),0)</f>
        <v>200</v>
      </c>
      <c r="D29" s="30" t="s">
        <v>370</v>
      </c>
      <c r="E29" s="28">
        <f t="shared" si="2"/>
        <v>100</v>
      </c>
      <c r="F29" s="26"/>
      <c r="G29" s="32"/>
    </row>
    <row r="30" ht="14.25" customHeight="1">
      <c r="A30" s="25" t="s">
        <v>377</v>
      </c>
      <c r="B30" s="26" t="s">
        <v>24</v>
      </c>
      <c r="C30" s="28">
        <f>IFERROR(VLOOKUP(A30,'Market List'!$B:$F,5,FALSE),0)</f>
        <v>254.5</v>
      </c>
      <c r="D30" s="30">
        <v>30.0</v>
      </c>
      <c r="E30" s="28">
        <f t="shared" si="2"/>
        <v>7635</v>
      </c>
      <c r="F30" s="26" t="s">
        <v>399</v>
      </c>
      <c r="G30" s="32"/>
    </row>
    <row r="31" ht="14.25" customHeight="1">
      <c r="A31" s="25" t="s">
        <v>380</v>
      </c>
      <c r="B31" s="26" t="s">
        <v>24</v>
      </c>
      <c r="C31" s="28">
        <f>IFERROR(VLOOKUP(A31,'Market List'!$B:$F,5,FALSE),0)</f>
        <v>0</v>
      </c>
      <c r="D31" s="30">
        <v>4.0</v>
      </c>
      <c r="E31" s="28">
        <f t="shared" si="2"/>
        <v>0</v>
      </c>
      <c r="F31" s="26"/>
      <c r="G31" s="32"/>
    </row>
    <row r="32" ht="14.25" customHeight="1">
      <c r="A32" s="25" t="s">
        <v>36</v>
      </c>
      <c r="B32" s="26" t="s">
        <v>24</v>
      </c>
      <c r="C32" s="28">
        <f>IFERROR(VLOOKUP(A32,'Market List'!$B:$F,5,FALSE),0)</f>
        <v>20</v>
      </c>
      <c r="D32" s="30">
        <v>4.0</v>
      </c>
      <c r="E32" s="28">
        <f t="shared" si="2"/>
        <v>80</v>
      </c>
      <c r="F32" s="26"/>
      <c r="G32" s="32"/>
    </row>
    <row r="33" ht="14.25" customHeight="1">
      <c r="A33" s="25" t="s">
        <v>383</v>
      </c>
      <c r="B33" s="26" t="s">
        <v>385</v>
      </c>
      <c r="C33" s="28">
        <f>IFERROR(VLOOKUP(A33,'Market List'!$B:$F,5,FALSE),0)</f>
        <v>3600</v>
      </c>
      <c r="D33" s="30" t="s">
        <v>370</v>
      </c>
      <c r="E33" s="28">
        <f t="shared" si="2"/>
        <v>1800</v>
      </c>
      <c r="F33" s="26"/>
      <c r="G33" s="32"/>
    </row>
    <row r="34" ht="14.25" customHeight="1">
      <c r="A34" s="36" t="s">
        <v>349</v>
      </c>
      <c r="B34" s="37" t="s">
        <v>24</v>
      </c>
      <c r="C34" s="38">
        <f>'WIP FOOD'!$B$72</f>
        <v>120.1185762</v>
      </c>
      <c r="D34" s="39">
        <v>35.0</v>
      </c>
      <c r="E34" s="38">
        <f t="shared" si="2"/>
        <v>4204.150167</v>
      </c>
      <c r="F34" s="37"/>
      <c r="G34" s="41"/>
    </row>
    <row r="35" ht="14.25" customHeight="1">
      <c r="A35" s="42" t="s">
        <v>62</v>
      </c>
      <c r="B35" s="43"/>
      <c r="C35" s="43"/>
      <c r="D35" s="45"/>
      <c r="E35" s="43">
        <v>0.0</v>
      </c>
      <c r="F35" s="43"/>
      <c r="G35" s="46"/>
    </row>
    <row r="36" ht="14.25" customHeight="1">
      <c r="A36" s="47" t="s">
        <v>64</v>
      </c>
      <c r="B36" s="48"/>
      <c r="C36" s="48"/>
      <c r="D36" s="49"/>
      <c r="E36" s="51">
        <f>SUM(E24:E35)</f>
        <v>17572.15762</v>
      </c>
      <c r="F36" s="48" t="s">
        <v>66</v>
      </c>
      <c r="G36" s="52"/>
    </row>
    <row r="37" ht="14.25" customHeight="1">
      <c r="A37" s="47" t="s">
        <v>67</v>
      </c>
      <c r="B37" s="48"/>
      <c r="C37" s="48"/>
      <c r="D37" s="49"/>
      <c r="E37" s="51">
        <f>E36*15%</f>
        <v>2635.823643</v>
      </c>
      <c r="F37" s="48" t="s">
        <v>69</v>
      </c>
      <c r="G37" s="52"/>
    </row>
    <row r="38" ht="14.25" customHeight="1">
      <c r="A38" s="47" t="s">
        <v>70</v>
      </c>
      <c r="B38" s="48"/>
      <c r="C38" s="48"/>
      <c r="D38" s="49"/>
      <c r="E38" s="51">
        <f>E36+E37</f>
        <v>20207.98126</v>
      </c>
      <c r="F38" s="48"/>
      <c r="G38" s="52"/>
    </row>
    <row r="39" ht="14.25" customHeight="1">
      <c r="A39" s="47" t="s">
        <v>71</v>
      </c>
      <c r="B39" s="48"/>
      <c r="C39" s="48"/>
      <c r="D39" s="49"/>
      <c r="E39" s="51">
        <f>IF(E41&gt;0,E41-E38,0)</f>
        <v>0</v>
      </c>
      <c r="F39" s="48"/>
      <c r="G39" s="52"/>
    </row>
    <row r="40" ht="14.25" customHeight="1">
      <c r="A40" s="47" t="s">
        <v>388</v>
      </c>
      <c r="B40" s="48"/>
      <c r="C40" s="48"/>
      <c r="D40" s="49"/>
      <c r="E40" s="56">
        <f>IFERROR(E38/E41,0)</f>
        <v>0</v>
      </c>
      <c r="F40" s="48"/>
      <c r="G40" s="52"/>
    </row>
    <row r="41" ht="14.25" customHeight="1">
      <c r="A41" s="47" t="s">
        <v>11</v>
      </c>
      <c r="B41" s="48"/>
      <c r="C41" s="48"/>
      <c r="D41" s="49"/>
      <c r="E41" s="78"/>
      <c r="F41" s="48"/>
      <c r="G41" s="52"/>
    </row>
    <row r="42" ht="14.25" customHeight="1">
      <c r="D42" s="60"/>
    </row>
    <row r="43" ht="14.25" customHeight="1">
      <c r="A43" s="4" t="s">
        <v>270</v>
      </c>
    </row>
    <row r="44" ht="14.25" customHeight="1">
      <c r="A44" s="6" t="s">
        <v>8</v>
      </c>
      <c r="B44" s="8" t="s">
        <v>10</v>
      </c>
      <c r="C44" s="8" t="s">
        <v>12</v>
      </c>
      <c r="D44" s="10" t="s">
        <v>13</v>
      </c>
      <c r="E44" s="8" t="s">
        <v>16</v>
      </c>
      <c r="F44" s="8" t="s">
        <v>17</v>
      </c>
      <c r="G44" s="13" t="s">
        <v>18</v>
      </c>
    </row>
    <row r="45" ht="14.25" customHeight="1">
      <c r="A45" s="14" t="s">
        <v>360</v>
      </c>
      <c r="B45" s="15" t="s">
        <v>24</v>
      </c>
      <c r="C45" s="17">
        <f>IFERROR(VLOOKUP(A45,'Market List'!$B:$F,5,FALSE),0)</f>
        <v>28.07017544</v>
      </c>
      <c r="D45" s="19">
        <v>80.0</v>
      </c>
      <c r="E45" s="17">
        <f t="shared" ref="E45:E54" si="3">IFERROR(C45*D45,0)</f>
        <v>2245.614035</v>
      </c>
      <c r="F45" s="15" t="s">
        <v>407</v>
      </c>
      <c r="G45" s="24"/>
    </row>
    <row r="46" ht="14.25" customHeight="1">
      <c r="A46" s="25" t="s">
        <v>395</v>
      </c>
      <c r="B46" s="26" t="s">
        <v>59</v>
      </c>
      <c r="C46" s="28">
        <f>IFERROR(VLOOKUP(A46,'Market List'!$B:$F,5,FALSE),0)</f>
        <v>0</v>
      </c>
      <c r="D46" s="30">
        <v>240.0</v>
      </c>
      <c r="E46" s="28">
        <f t="shared" si="3"/>
        <v>0</v>
      </c>
      <c r="F46" s="26" t="s">
        <v>396</v>
      </c>
      <c r="G46" s="32"/>
    </row>
    <row r="47" ht="14.25" customHeight="1">
      <c r="A47" s="25" t="s">
        <v>408</v>
      </c>
      <c r="B47" s="26" t="s">
        <v>59</v>
      </c>
      <c r="C47" s="28">
        <f>IFERROR(VLOOKUP(A47,'Market List'!$B:$F,5,FALSE),0)</f>
        <v>0</v>
      </c>
      <c r="D47" s="30">
        <v>30.0</v>
      </c>
      <c r="E47" s="28">
        <f t="shared" si="3"/>
        <v>0</v>
      </c>
      <c r="F47" s="26" t="s">
        <v>366</v>
      </c>
      <c r="G47" s="32"/>
    </row>
    <row r="48" ht="14.25" customHeight="1">
      <c r="A48" s="25" t="s">
        <v>398</v>
      </c>
      <c r="B48" s="26" t="s">
        <v>24</v>
      </c>
      <c r="C48" s="28">
        <f>IFERROR(VLOOKUP(A48,'Market List'!$B:$F,5,FALSE),0)</f>
        <v>43.18181818</v>
      </c>
      <c r="D48" s="30">
        <v>1.0</v>
      </c>
      <c r="E48" s="28">
        <f t="shared" si="3"/>
        <v>43.18181818</v>
      </c>
      <c r="F48" s="26" t="s">
        <v>371</v>
      </c>
      <c r="G48" s="32"/>
    </row>
    <row r="49" ht="14.25" customHeight="1">
      <c r="A49" s="25" t="s">
        <v>365</v>
      </c>
      <c r="B49" s="26" t="s">
        <v>24</v>
      </c>
      <c r="C49" s="28">
        <f>IFERROR(VLOOKUP(A49,'Market List'!$B:$F,5,FALSE),0)</f>
        <v>86</v>
      </c>
      <c r="D49" s="30">
        <v>1.0</v>
      </c>
      <c r="E49" s="28">
        <f t="shared" si="3"/>
        <v>86</v>
      </c>
      <c r="F49" s="26"/>
      <c r="G49" s="32"/>
    </row>
    <row r="50" ht="14.25" customHeight="1">
      <c r="A50" s="25" t="s">
        <v>367</v>
      </c>
      <c r="B50" s="26" t="s">
        <v>24</v>
      </c>
      <c r="C50" s="28">
        <f>IFERROR(VLOOKUP(A50,'Market List'!$B:$F,5,FALSE),0)</f>
        <v>200</v>
      </c>
      <c r="D50" s="30" t="s">
        <v>370</v>
      </c>
      <c r="E50" s="28">
        <f t="shared" si="3"/>
        <v>100</v>
      </c>
      <c r="F50" s="26"/>
      <c r="G50" s="32"/>
    </row>
    <row r="51" ht="14.25" customHeight="1">
      <c r="A51" s="25" t="s">
        <v>409</v>
      </c>
      <c r="B51" s="26" t="s">
        <v>24</v>
      </c>
      <c r="C51" s="28">
        <f>'WIP FOOD'!$B$298</f>
        <v>86.80870561</v>
      </c>
      <c r="D51" s="30">
        <v>30.0</v>
      </c>
      <c r="E51" s="28">
        <f t="shared" si="3"/>
        <v>2604.261168</v>
      </c>
      <c r="F51" s="26"/>
      <c r="G51" s="32"/>
    </row>
    <row r="52" ht="14.25" customHeight="1">
      <c r="A52" s="25" t="s">
        <v>380</v>
      </c>
      <c r="B52" s="26" t="s">
        <v>24</v>
      </c>
      <c r="C52" s="28">
        <f>IFERROR(VLOOKUP(A52,'Market List'!$B:$F,5,FALSE),0)</f>
        <v>0</v>
      </c>
      <c r="D52" s="30">
        <v>4.0</v>
      </c>
      <c r="E52" s="28">
        <f t="shared" si="3"/>
        <v>0</v>
      </c>
      <c r="F52" s="26"/>
      <c r="G52" s="32"/>
    </row>
    <row r="53" ht="14.25" customHeight="1">
      <c r="A53" s="25" t="s">
        <v>36</v>
      </c>
      <c r="B53" s="26" t="s">
        <v>24</v>
      </c>
      <c r="C53" s="28">
        <f>IFERROR(VLOOKUP(A53,'Market List'!$B:$F,5,FALSE),0)</f>
        <v>20</v>
      </c>
      <c r="D53" s="30">
        <v>4.0</v>
      </c>
      <c r="E53" s="28">
        <f t="shared" si="3"/>
        <v>80</v>
      </c>
      <c r="F53" s="26"/>
      <c r="G53" s="32"/>
    </row>
    <row r="54" ht="14.25" customHeight="1">
      <c r="A54" s="36" t="s">
        <v>383</v>
      </c>
      <c r="B54" s="37" t="s">
        <v>385</v>
      </c>
      <c r="C54" s="38">
        <f>IFERROR(VLOOKUP(A54,'Market List'!$B:$F,5,FALSE),0)</f>
        <v>3600</v>
      </c>
      <c r="D54" s="39" t="s">
        <v>370</v>
      </c>
      <c r="E54" s="38">
        <f t="shared" si="3"/>
        <v>1800</v>
      </c>
      <c r="F54" s="37"/>
      <c r="G54" s="41"/>
    </row>
    <row r="55" ht="14.25" customHeight="1">
      <c r="A55" s="42" t="s">
        <v>62</v>
      </c>
      <c r="B55" s="43"/>
      <c r="C55" s="43"/>
      <c r="D55" s="45"/>
      <c r="E55" s="43">
        <v>0.0</v>
      </c>
      <c r="F55" s="43"/>
      <c r="G55" s="46"/>
    </row>
    <row r="56" ht="14.25" customHeight="1">
      <c r="A56" s="47" t="s">
        <v>64</v>
      </c>
      <c r="B56" s="48"/>
      <c r="C56" s="48"/>
      <c r="D56" s="49"/>
      <c r="E56" s="51">
        <f>SUM(E45:E55)</f>
        <v>6959.057022</v>
      </c>
      <c r="F56" s="48" t="s">
        <v>66</v>
      </c>
      <c r="G56" s="52"/>
    </row>
    <row r="57" ht="14.25" customHeight="1">
      <c r="A57" s="47" t="s">
        <v>67</v>
      </c>
      <c r="B57" s="48"/>
      <c r="C57" s="48"/>
      <c r="D57" s="49"/>
      <c r="E57" s="51">
        <f>E56*15%</f>
        <v>1043.858553</v>
      </c>
      <c r="F57" s="48" t="s">
        <v>69</v>
      </c>
      <c r="G57" s="52"/>
    </row>
    <row r="58" ht="14.25" customHeight="1">
      <c r="A58" s="47" t="s">
        <v>70</v>
      </c>
      <c r="B58" s="48"/>
      <c r="C58" s="48"/>
      <c r="D58" s="49"/>
      <c r="E58" s="51">
        <f>E56+E57</f>
        <v>8002.915575</v>
      </c>
      <c r="F58" s="48"/>
      <c r="G58" s="52"/>
    </row>
    <row r="59" ht="14.25" customHeight="1">
      <c r="A59" s="47" t="s">
        <v>71</v>
      </c>
      <c r="B59" s="48"/>
      <c r="C59" s="48"/>
      <c r="D59" s="49"/>
      <c r="E59" s="51">
        <f>IF(E61&gt;0,E61-E58,0)</f>
        <v>0</v>
      </c>
      <c r="F59" s="48"/>
      <c r="G59" s="52"/>
    </row>
    <row r="60" ht="14.25" customHeight="1">
      <c r="A60" s="47" t="s">
        <v>388</v>
      </c>
      <c r="B60" s="48"/>
      <c r="C60" s="48"/>
      <c r="D60" s="49"/>
      <c r="E60" s="56">
        <f>IFERROR(E58/E61,0)</f>
        <v>0</v>
      </c>
      <c r="F60" s="48"/>
      <c r="G60" s="52"/>
    </row>
    <row r="61" ht="14.25" customHeight="1">
      <c r="A61" s="47" t="s">
        <v>11</v>
      </c>
      <c r="B61" s="48"/>
      <c r="C61" s="48"/>
      <c r="D61" s="49"/>
      <c r="E61" s="78"/>
      <c r="F61" s="48"/>
      <c r="G61" s="52"/>
    </row>
    <row r="62" ht="14.25" customHeight="1">
      <c r="D62" s="60"/>
    </row>
    <row r="63" ht="14.25" customHeight="1">
      <c r="A63" s="4" t="s">
        <v>272</v>
      </c>
    </row>
    <row r="64" ht="14.25" customHeight="1">
      <c r="A64" s="6" t="s">
        <v>8</v>
      </c>
      <c r="B64" s="8" t="s">
        <v>10</v>
      </c>
      <c r="C64" s="8" t="s">
        <v>12</v>
      </c>
      <c r="D64" s="10" t="s">
        <v>13</v>
      </c>
      <c r="E64" s="8" t="s">
        <v>16</v>
      </c>
      <c r="F64" s="8" t="s">
        <v>17</v>
      </c>
      <c r="G64" s="13" t="s">
        <v>18</v>
      </c>
    </row>
    <row r="65" ht="14.25" customHeight="1">
      <c r="A65" s="14" t="s">
        <v>360</v>
      </c>
      <c r="B65" s="15" t="s">
        <v>24</v>
      </c>
      <c r="C65" s="17">
        <f>IFERROR(VLOOKUP(A65,'Market List'!$B:$F,5,FALSE),0)</f>
        <v>28.07017544</v>
      </c>
      <c r="D65" s="19">
        <v>80.0</v>
      </c>
      <c r="E65" s="17">
        <f t="shared" ref="E65:E78" si="4">IFERROR(C65*D65,0)</f>
        <v>2245.614035</v>
      </c>
      <c r="F65" s="15" t="s">
        <v>402</v>
      </c>
      <c r="G65" s="24"/>
    </row>
    <row r="66" ht="14.25" customHeight="1">
      <c r="A66" s="25" t="s">
        <v>410</v>
      </c>
      <c r="B66" s="26" t="s">
        <v>24</v>
      </c>
      <c r="C66" s="28">
        <f>'WIP FOOD'!$B$349</f>
        <v>119.3736412</v>
      </c>
      <c r="D66" s="30">
        <v>40.0</v>
      </c>
      <c r="E66" s="28">
        <f t="shared" si="4"/>
        <v>4774.94565</v>
      </c>
      <c r="F66" s="26" t="s">
        <v>411</v>
      </c>
      <c r="G66" s="32"/>
    </row>
    <row r="67" ht="14.25" customHeight="1">
      <c r="A67" s="25" t="s">
        <v>365</v>
      </c>
      <c r="B67" s="26" t="s">
        <v>24</v>
      </c>
      <c r="C67" s="28">
        <f>IFERROR(VLOOKUP(A67,'Market List'!$B:$F,5,FALSE),0)</f>
        <v>86</v>
      </c>
      <c r="D67" s="30">
        <v>1.0</v>
      </c>
      <c r="E67" s="28">
        <f t="shared" si="4"/>
        <v>86</v>
      </c>
      <c r="F67" s="26" t="s">
        <v>404</v>
      </c>
      <c r="G67" s="32"/>
    </row>
    <row r="68" ht="14.25" customHeight="1">
      <c r="A68" s="25" t="s">
        <v>367</v>
      </c>
      <c r="B68" s="26" t="s">
        <v>24</v>
      </c>
      <c r="C68" s="28">
        <f>IFERROR(VLOOKUP(A68,'Market List'!$B:$F,5,FALSE),0)</f>
        <v>200</v>
      </c>
      <c r="D68" s="30" t="s">
        <v>370</v>
      </c>
      <c r="E68" s="28">
        <f t="shared" si="4"/>
        <v>100</v>
      </c>
      <c r="F68" s="26"/>
      <c r="G68" s="32"/>
    </row>
    <row r="69" ht="14.25" customHeight="1">
      <c r="A69" s="25" t="s">
        <v>398</v>
      </c>
      <c r="B69" s="26" t="s">
        <v>24</v>
      </c>
      <c r="C69" s="28">
        <f>IFERROR(VLOOKUP(A69,'Market List'!$B:$F,5,FALSE),0)</f>
        <v>43.18181818</v>
      </c>
      <c r="D69" s="30">
        <v>1.0</v>
      </c>
      <c r="E69" s="28">
        <f t="shared" si="4"/>
        <v>43.18181818</v>
      </c>
      <c r="F69" s="26"/>
      <c r="G69" s="32"/>
    </row>
    <row r="70" ht="14.25" customHeight="1">
      <c r="A70" s="25" t="s">
        <v>412</v>
      </c>
      <c r="B70" s="26" t="s">
        <v>327</v>
      </c>
      <c r="C70" s="28">
        <f>IFERROR(VLOOKUP(A70,'Market List'!$B:$F,5,FALSE),0)</f>
        <v>136</v>
      </c>
      <c r="D70" s="30">
        <v>1.0</v>
      </c>
      <c r="E70" s="28">
        <f t="shared" si="4"/>
        <v>136</v>
      </c>
      <c r="F70" s="26"/>
      <c r="G70" s="32"/>
    </row>
    <row r="71" ht="14.25" customHeight="1">
      <c r="A71" s="25" t="s">
        <v>413</v>
      </c>
      <c r="B71" s="26" t="s">
        <v>24</v>
      </c>
      <c r="C71" s="28">
        <f>IFERROR(VLOOKUP(A71,'Market List'!$B:$F,5,FALSE),0)</f>
        <v>971.8</v>
      </c>
      <c r="D71" s="30">
        <v>2.0</v>
      </c>
      <c r="E71" s="28">
        <f t="shared" si="4"/>
        <v>1943.6</v>
      </c>
      <c r="F71" s="26"/>
      <c r="G71" s="32"/>
    </row>
    <row r="72" ht="14.25" customHeight="1">
      <c r="A72" s="25" t="s">
        <v>352</v>
      </c>
      <c r="B72" s="26" t="s">
        <v>24</v>
      </c>
      <c r="C72" s="28">
        <f>IFERROR(VLOOKUP(A72,'Market List'!$B:$F,5,FALSE),0)</f>
        <v>140</v>
      </c>
      <c r="D72" s="30">
        <v>10.0</v>
      </c>
      <c r="E72" s="28">
        <f t="shared" si="4"/>
        <v>1400</v>
      </c>
      <c r="F72" s="26"/>
      <c r="G72" s="32"/>
    </row>
    <row r="73" ht="14.25" customHeight="1">
      <c r="A73" s="25" t="s">
        <v>414</v>
      </c>
      <c r="B73" s="26" t="s">
        <v>24</v>
      </c>
      <c r="C73" s="28">
        <f>IFERROR(VLOOKUP(A73,'Market List'!$B:$F,5,FALSE),0)</f>
        <v>90</v>
      </c>
      <c r="D73" s="30">
        <v>30.0</v>
      </c>
      <c r="E73" s="28">
        <f t="shared" si="4"/>
        <v>2700</v>
      </c>
      <c r="F73" s="26" t="s">
        <v>415</v>
      </c>
      <c r="G73" s="32"/>
    </row>
    <row r="74" ht="14.25" customHeight="1">
      <c r="A74" s="25" t="s">
        <v>380</v>
      </c>
      <c r="B74" s="26" t="s">
        <v>24</v>
      </c>
      <c r="C74" s="28">
        <f>IFERROR(VLOOKUP(A74,'Market List'!$B:$F,5,FALSE),0)</f>
        <v>0</v>
      </c>
      <c r="D74" s="30">
        <v>4.0</v>
      </c>
      <c r="E74" s="28">
        <f t="shared" si="4"/>
        <v>0</v>
      </c>
      <c r="F74" s="26"/>
      <c r="G74" s="32"/>
    </row>
    <row r="75" ht="14.25" customHeight="1">
      <c r="A75" s="25" t="s">
        <v>58</v>
      </c>
      <c r="B75" s="26" t="s">
        <v>24</v>
      </c>
      <c r="C75" s="28">
        <f>'WIP FOOD'!$B$119</f>
        <v>13.9768795</v>
      </c>
      <c r="D75" s="30">
        <v>4.0</v>
      </c>
      <c r="E75" s="28">
        <f t="shared" si="4"/>
        <v>55.907518</v>
      </c>
      <c r="F75" s="26"/>
      <c r="G75" s="32"/>
    </row>
    <row r="76" ht="14.25" customHeight="1">
      <c r="A76" s="25" t="s">
        <v>383</v>
      </c>
      <c r="B76" s="26" t="s">
        <v>385</v>
      </c>
      <c r="C76" s="28">
        <f>IFERROR(VLOOKUP(A76,'Market List'!$B:$F,5,FALSE),0)</f>
        <v>3600</v>
      </c>
      <c r="D76" s="30" t="s">
        <v>370</v>
      </c>
      <c r="E76" s="28">
        <f t="shared" si="4"/>
        <v>1800</v>
      </c>
      <c r="F76" s="26"/>
      <c r="G76" s="32"/>
    </row>
    <row r="77" ht="14.25" customHeight="1">
      <c r="A77" s="25" t="s">
        <v>416</v>
      </c>
      <c r="B77" s="26" t="s">
        <v>24</v>
      </c>
      <c r="C77" s="28">
        <f>'WIP FOOD'!$B$498</f>
        <v>26.06510152</v>
      </c>
      <c r="D77" s="30">
        <v>40.0</v>
      </c>
      <c r="E77" s="28">
        <f t="shared" si="4"/>
        <v>1042.604061</v>
      </c>
      <c r="F77" s="26"/>
      <c r="G77" s="32"/>
    </row>
    <row r="78" ht="14.25" customHeight="1">
      <c r="A78" s="36" t="s">
        <v>417</v>
      </c>
      <c r="B78" s="37" t="s">
        <v>24</v>
      </c>
      <c r="C78" s="38">
        <f>IFERROR(VLOOKUP(A78,'Market List'!$B:$F,5,FALSE),0)</f>
        <v>1000</v>
      </c>
      <c r="D78" s="39">
        <v>1.0</v>
      </c>
      <c r="E78" s="38">
        <f t="shared" si="4"/>
        <v>1000</v>
      </c>
      <c r="F78" s="37"/>
      <c r="G78" s="41"/>
    </row>
    <row r="79" ht="14.25" customHeight="1">
      <c r="A79" s="42" t="s">
        <v>62</v>
      </c>
      <c r="B79" s="43"/>
      <c r="C79" s="43"/>
      <c r="D79" s="45"/>
      <c r="E79" s="43">
        <v>0.0</v>
      </c>
      <c r="F79" s="43"/>
      <c r="G79" s="46"/>
    </row>
    <row r="80" ht="14.25" customHeight="1">
      <c r="A80" s="47" t="s">
        <v>64</v>
      </c>
      <c r="B80" s="48"/>
      <c r="C80" s="48"/>
      <c r="D80" s="49"/>
      <c r="E80" s="51">
        <f>SUM(E65:E79)</f>
        <v>17327.85308</v>
      </c>
      <c r="F80" s="48" t="s">
        <v>66</v>
      </c>
      <c r="G80" s="52"/>
    </row>
    <row r="81" ht="14.25" customHeight="1">
      <c r="A81" s="47" t="s">
        <v>67</v>
      </c>
      <c r="B81" s="48"/>
      <c r="C81" s="48"/>
      <c r="D81" s="49"/>
      <c r="E81" s="51">
        <f>E80*15%</f>
        <v>2599.177962</v>
      </c>
      <c r="F81" s="48" t="s">
        <v>69</v>
      </c>
      <c r="G81" s="52"/>
    </row>
    <row r="82" ht="14.25" customHeight="1">
      <c r="A82" s="47" t="s">
        <v>70</v>
      </c>
      <c r="B82" s="48"/>
      <c r="C82" s="48"/>
      <c r="D82" s="49"/>
      <c r="E82" s="51">
        <f>E80+E81</f>
        <v>19927.03104</v>
      </c>
      <c r="F82" s="48"/>
      <c r="G82" s="52"/>
    </row>
    <row r="83" ht="14.25" customHeight="1">
      <c r="A83" s="47" t="s">
        <v>71</v>
      </c>
      <c r="B83" s="48"/>
      <c r="C83" s="48"/>
      <c r="D83" s="49"/>
      <c r="E83" s="51">
        <f>IF(E85&gt;0,E85-E82,0)</f>
        <v>0</v>
      </c>
      <c r="F83" s="48"/>
      <c r="G83" s="52"/>
    </row>
    <row r="84" ht="14.25" customHeight="1">
      <c r="A84" s="47" t="s">
        <v>388</v>
      </c>
      <c r="B84" s="48"/>
      <c r="C84" s="48"/>
      <c r="D84" s="49"/>
      <c r="E84" s="56">
        <f>IFERROR(E82/E85,0)</f>
        <v>0</v>
      </c>
      <c r="F84" s="48"/>
      <c r="G84" s="52"/>
    </row>
    <row r="85" ht="14.25" customHeight="1">
      <c r="A85" s="47" t="s">
        <v>11</v>
      </c>
      <c r="B85" s="48"/>
      <c r="C85" s="48"/>
      <c r="D85" s="49"/>
      <c r="E85" s="78"/>
      <c r="F85" s="48"/>
      <c r="G85" s="52"/>
    </row>
    <row r="86" ht="14.25" customHeight="1">
      <c r="D86" s="60"/>
    </row>
    <row r="87" ht="14.25" customHeight="1">
      <c r="A87" s="4" t="s">
        <v>274</v>
      </c>
    </row>
    <row r="88" ht="14.25" customHeight="1">
      <c r="A88" s="6" t="s">
        <v>8</v>
      </c>
      <c r="B88" s="8" t="s">
        <v>10</v>
      </c>
      <c r="C88" s="8" t="s">
        <v>12</v>
      </c>
      <c r="D88" s="10" t="s">
        <v>13</v>
      </c>
      <c r="E88" s="8" t="s">
        <v>16</v>
      </c>
      <c r="F88" s="8" t="s">
        <v>17</v>
      </c>
      <c r="G88" s="13" t="s">
        <v>18</v>
      </c>
    </row>
    <row r="89" ht="14.25" customHeight="1">
      <c r="A89" s="14" t="s">
        <v>360</v>
      </c>
      <c r="B89" s="15" t="s">
        <v>24</v>
      </c>
      <c r="C89" s="17">
        <f>IFERROR(VLOOKUP(A89,'Market List'!$B:$F,5,FALSE),0)</f>
        <v>28.07017544</v>
      </c>
      <c r="D89" s="19">
        <v>80.0</v>
      </c>
      <c r="E89" s="17">
        <f t="shared" ref="E89:E102" si="5">IFERROR(C89*D89,0)</f>
        <v>2245.614035</v>
      </c>
      <c r="F89" s="15" t="s">
        <v>402</v>
      </c>
      <c r="G89" s="24"/>
    </row>
    <row r="90" ht="14.25" customHeight="1">
      <c r="A90" s="25" t="s">
        <v>410</v>
      </c>
      <c r="B90" s="26" t="s">
        <v>24</v>
      </c>
      <c r="C90" s="28">
        <f>'WIP FOOD'!$B$349</f>
        <v>119.3736412</v>
      </c>
      <c r="D90" s="30">
        <v>40.0</v>
      </c>
      <c r="E90" s="28">
        <f t="shared" si="5"/>
        <v>4774.94565</v>
      </c>
      <c r="F90" s="26" t="s">
        <v>411</v>
      </c>
      <c r="G90" s="32"/>
    </row>
    <row r="91" ht="14.25" customHeight="1">
      <c r="A91" s="25" t="s">
        <v>365</v>
      </c>
      <c r="B91" s="26" t="s">
        <v>24</v>
      </c>
      <c r="C91" s="28">
        <f>IFERROR(VLOOKUP(A91,'Market List'!$B:$F,5,FALSE),0)</f>
        <v>86</v>
      </c>
      <c r="D91" s="30">
        <v>1.0</v>
      </c>
      <c r="E91" s="28">
        <f t="shared" si="5"/>
        <v>86</v>
      </c>
      <c r="F91" s="26" t="s">
        <v>404</v>
      </c>
      <c r="G91" s="32"/>
    </row>
    <row r="92" ht="14.25" customHeight="1">
      <c r="A92" s="25" t="s">
        <v>367</v>
      </c>
      <c r="B92" s="26" t="s">
        <v>24</v>
      </c>
      <c r="C92" s="28">
        <f>IFERROR(VLOOKUP(A92,'Market List'!$B:$F,5,FALSE),0)</f>
        <v>200</v>
      </c>
      <c r="D92" s="30" t="s">
        <v>370</v>
      </c>
      <c r="E92" s="28">
        <f t="shared" si="5"/>
        <v>100</v>
      </c>
      <c r="F92" s="26"/>
      <c r="G92" s="32"/>
    </row>
    <row r="93" ht="14.25" customHeight="1">
      <c r="A93" s="25" t="s">
        <v>398</v>
      </c>
      <c r="B93" s="26" t="s">
        <v>24</v>
      </c>
      <c r="C93" s="28">
        <f>IFERROR(VLOOKUP(A93,'Market List'!$B:$F,5,FALSE),0)</f>
        <v>43.18181818</v>
      </c>
      <c r="D93" s="30">
        <v>1.0</v>
      </c>
      <c r="E93" s="28">
        <f t="shared" si="5"/>
        <v>43.18181818</v>
      </c>
      <c r="F93" s="26"/>
      <c r="G93" s="32"/>
    </row>
    <row r="94" ht="14.25" customHeight="1">
      <c r="A94" s="25" t="s">
        <v>412</v>
      </c>
      <c r="B94" s="26" t="s">
        <v>327</v>
      </c>
      <c r="C94" s="28">
        <f>IFERROR(VLOOKUP(A94,'Market List'!$B:$F,5,FALSE),0)</f>
        <v>136</v>
      </c>
      <c r="D94" s="30">
        <v>1.0</v>
      </c>
      <c r="E94" s="28">
        <f t="shared" si="5"/>
        <v>136</v>
      </c>
      <c r="F94" s="26"/>
      <c r="G94" s="32"/>
    </row>
    <row r="95" ht="14.25" customHeight="1">
      <c r="A95" s="25" t="s">
        <v>413</v>
      </c>
      <c r="B95" s="26" t="s">
        <v>24</v>
      </c>
      <c r="C95" s="28">
        <f>IFERROR(VLOOKUP(A95,'Market List'!$B:$F,5,FALSE),0)</f>
        <v>971.8</v>
      </c>
      <c r="D95" s="30">
        <v>2.0</v>
      </c>
      <c r="E95" s="28">
        <f t="shared" si="5"/>
        <v>1943.6</v>
      </c>
      <c r="F95" s="26"/>
      <c r="G95" s="32"/>
    </row>
    <row r="96" ht="14.25" customHeight="1">
      <c r="A96" s="25" t="s">
        <v>352</v>
      </c>
      <c r="B96" s="26" t="s">
        <v>24</v>
      </c>
      <c r="C96" s="28">
        <f>IFERROR(VLOOKUP(A96,'Market List'!$B:$F,5,FALSE),0)</f>
        <v>140</v>
      </c>
      <c r="D96" s="30">
        <v>10.0</v>
      </c>
      <c r="E96" s="28">
        <f t="shared" si="5"/>
        <v>1400</v>
      </c>
      <c r="F96" s="26"/>
      <c r="G96" s="32"/>
    </row>
    <row r="97" ht="14.25" customHeight="1">
      <c r="A97" s="25" t="s">
        <v>377</v>
      </c>
      <c r="B97" s="26" t="s">
        <v>24</v>
      </c>
      <c r="C97" s="28">
        <f>IFERROR(VLOOKUP(A97,'Market List'!$B:$F,5,FALSE),0)</f>
        <v>254.5</v>
      </c>
      <c r="D97" s="30">
        <v>30.0</v>
      </c>
      <c r="E97" s="28">
        <f t="shared" si="5"/>
        <v>7635</v>
      </c>
      <c r="F97" s="26" t="s">
        <v>399</v>
      </c>
      <c r="G97" s="32"/>
    </row>
    <row r="98" ht="14.25" customHeight="1">
      <c r="A98" s="25" t="s">
        <v>380</v>
      </c>
      <c r="B98" s="26" t="s">
        <v>24</v>
      </c>
      <c r="C98" s="28">
        <f>IFERROR(VLOOKUP(A98,'Market List'!$B:$F,5,FALSE),0)</f>
        <v>0</v>
      </c>
      <c r="D98" s="30">
        <v>4.0</v>
      </c>
      <c r="E98" s="28">
        <f t="shared" si="5"/>
        <v>0</v>
      </c>
      <c r="F98" s="26"/>
      <c r="G98" s="32"/>
    </row>
    <row r="99" ht="14.25" customHeight="1">
      <c r="A99" s="25" t="s">
        <v>58</v>
      </c>
      <c r="B99" s="26" t="s">
        <v>24</v>
      </c>
      <c r="C99" s="28">
        <f>'WIP FOOD'!$B$119</f>
        <v>13.9768795</v>
      </c>
      <c r="D99" s="30">
        <v>4.0</v>
      </c>
      <c r="E99" s="28">
        <f t="shared" si="5"/>
        <v>55.907518</v>
      </c>
      <c r="F99" s="26"/>
      <c r="G99" s="32"/>
    </row>
    <row r="100" ht="14.25" customHeight="1">
      <c r="A100" s="25" t="s">
        <v>383</v>
      </c>
      <c r="B100" s="26" t="s">
        <v>385</v>
      </c>
      <c r="C100" s="28">
        <f>IFERROR(VLOOKUP(A100,'Market List'!$B:$F,5,FALSE),0)</f>
        <v>3600</v>
      </c>
      <c r="D100" s="30" t="s">
        <v>370</v>
      </c>
      <c r="E100" s="28">
        <f t="shared" si="5"/>
        <v>1800</v>
      </c>
      <c r="F100" s="26"/>
      <c r="G100" s="32"/>
    </row>
    <row r="101" ht="14.25" customHeight="1">
      <c r="A101" s="25" t="s">
        <v>416</v>
      </c>
      <c r="B101" s="26" t="s">
        <v>24</v>
      </c>
      <c r="C101" s="28">
        <f>'WIP FOOD'!$B$498</f>
        <v>26.06510152</v>
      </c>
      <c r="D101" s="30">
        <v>40.0</v>
      </c>
      <c r="E101" s="28">
        <f t="shared" si="5"/>
        <v>1042.604061</v>
      </c>
      <c r="F101" s="26"/>
      <c r="G101" s="32"/>
    </row>
    <row r="102" ht="14.25" customHeight="1">
      <c r="A102" s="36" t="s">
        <v>417</v>
      </c>
      <c r="B102" s="37" t="s">
        <v>24</v>
      </c>
      <c r="C102" s="38">
        <f>IFERROR(VLOOKUP(A102,'Market List'!$B:$F,5,FALSE),0)</f>
        <v>1000</v>
      </c>
      <c r="D102" s="39">
        <v>1.0</v>
      </c>
      <c r="E102" s="38">
        <f t="shared" si="5"/>
        <v>1000</v>
      </c>
      <c r="F102" s="37"/>
      <c r="G102" s="41"/>
    </row>
    <row r="103" ht="14.25" customHeight="1">
      <c r="A103" s="42" t="s">
        <v>62</v>
      </c>
      <c r="B103" s="43"/>
      <c r="C103" s="43"/>
      <c r="D103" s="45"/>
      <c r="E103" s="43">
        <v>0.0</v>
      </c>
      <c r="F103" s="43"/>
      <c r="G103" s="46"/>
    </row>
    <row r="104" ht="14.25" customHeight="1">
      <c r="A104" s="47" t="s">
        <v>64</v>
      </c>
      <c r="B104" s="48"/>
      <c r="C104" s="48"/>
      <c r="D104" s="49"/>
      <c r="E104" s="51">
        <f>SUM(E89:E103)</f>
        <v>22262.85308</v>
      </c>
      <c r="F104" s="48" t="s">
        <v>66</v>
      </c>
      <c r="G104" s="52"/>
    </row>
    <row r="105" ht="14.25" customHeight="1">
      <c r="A105" s="47" t="s">
        <v>67</v>
      </c>
      <c r="B105" s="48"/>
      <c r="C105" s="48"/>
      <c r="D105" s="49"/>
      <c r="E105" s="51">
        <f>E104*15%</f>
        <v>3339.427962</v>
      </c>
      <c r="F105" s="48" t="s">
        <v>69</v>
      </c>
      <c r="G105" s="52"/>
    </row>
    <row r="106" ht="14.25" customHeight="1">
      <c r="A106" s="47" t="s">
        <v>70</v>
      </c>
      <c r="B106" s="48"/>
      <c r="C106" s="48"/>
      <c r="D106" s="49"/>
      <c r="E106" s="51">
        <f>E104+E105</f>
        <v>25602.28104</v>
      </c>
      <c r="F106" s="48"/>
      <c r="G106" s="52"/>
    </row>
    <row r="107" ht="14.25" customHeight="1">
      <c r="A107" s="47" t="s">
        <v>71</v>
      </c>
      <c r="B107" s="48"/>
      <c r="C107" s="48"/>
      <c r="D107" s="49"/>
      <c r="E107" s="51">
        <f>IF(E109&gt;0,E109-E106,0)</f>
        <v>0</v>
      </c>
      <c r="F107" s="48"/>
      <c r="G107" s="52"/>
    </row>
    <row r="108" ht="14.25" customHeight="1">
      <c r="A108" s="47" t="s">
        <v>388</v>
      </c>
      <c r="B108" s="48"/>
      <c r="C108" s="48"/>
      <c r="D108" s="49"/>
      <c r="E108" s="56">
        <f>IFERROR(E106/E109,0)</f>
        <v>0</v>
      </c>
      <c r="F108" s="48"/>
      <c r="G108" s="52"/>
    </row>
    <row r="109" ht="14.25" customHeight="1">
      <c r="A109" s="47" t="s">
        <v>11</v>
      </c>
      <c r="B109" s="48"/>
      <c r="C109" s="48"/>
      <c r="D109" s="49"/>
      <c r="E109" s="78"/>
      <c r="F109" s="48"/>
      <c r="G109" s="52"/>
    </row>
    <row r="110" ht="14.25" customHeight="1">
      <c r="D110" s="60"/>
    </row>
    <row r="111" ht="14.25" customHeight="1">
      <c r="A111" s="4" t="s">
        <v>279</v>
      </c>
    </row>
    <row r="112" ht="14.25" customHeight="1">
      <c r="A112" s="6" t="s">
        <v>8</v>
      </c>
      <c r="B112" s="8" t="s">
        <v>10</v>
      </c>
      <c r="C112" s="8" t="s">
        <v>12</v>
      </c>
      <c r="D112" s="10" t="s">
        <v>13</v>
      </c>
      <c r="E112" s="8" t="s">
        <v>16</v>
      </c>
      <c r="F112" s="8" t="s">
        <v>17</v>
      </c>
      <c r="G112" s="13" t="s">
        <v>18</v>
      </c>
    </row>
    <row r="113" ht="14.25" customHeight="1">
      <c r="A113" s="14" t="s">
        <v>360</v>
      </c>
      <c r="B113" s="15" t="s">
        <v>24</v>
      </c>
      <c r="C113" s="17">
        <f>IFERROR(VLOOKUP(A113,'Market List'!$B:$F,5,FALSE),0)</f>
        <v>28.07017544</v>
      </c>
      <c r="D113" s="19">
        <v>80.0</v>
      </c>
      <c r="E113" s="17">
        <f t="shared" ref="E113:E126" si="6">IFERROR(C113*D113,0)</f>
        <v>2245.614035</v>
      </c>
      <c r="F113" s="15" t="s">
        <v>402</v>
      </c>
      <c r="G113" s="24"/>
    </row>
    <row r="114" ht="14.25" customHeight="1">
      <c r="A114" s="25" t="s">
        <v>410</v>
      </c>
      <c r="B114" s="26" t="s">
        <v>24</v>
      </c>
      <c r="C114" s="28">
        <f>'WIP FOOD'!$B$349</f>
        <v>119.3736412</v>
      </c>
      <c r="D114" s="30">
        <v>40.0</v>
      </c>
      <c r="E114" s="28">
        <f t="shared" si="6"/>
        <v>4774.94565</v>
      </c>
      <c r="F114" s="26" t="s">
        <v>411</v>
      </c>
      <c r="G114" s="32"/>
    </row>
    <row r="115" ht="14.25" customHeight="1">
      <c r="A115" s="25" t="s">
        <v>365</v>
      </c>
      <c r="B115" s="26" t="s">
        <v>24</v>
      </c>
      <c r="C115" s="28">
        <f>IFERROR(VLOOKUP(A115,'Market List'!$B:$F,5,FALSE),0)</f>
        <v>86</v>
      </c>
      <c r="D115" s="30">
        <v>1.0</v>
      </c>
      <c r="E115" s="28">
        <f t="shared" si="6"/>
        <v>86</v>
      </c>
      <c r="F115" s="26" t="s">
        <v>404</v>
      </c>
      <c r="G115" s="32"/>
    </row>
    <row r="116" ht="14.25" customHeight="1">
      <c r="A116" s="25" t="s">
        <v>367</v>
      </c>
      <c r="B116" s="26" t="s">
        <v>24</v>
      </c>
      <c r="C116" s="28">
        <f>IFERROR(VLOOKUP(A116,'Market List'!$B:$F,5,FALSE),0)</f>
        <v>200</v>
      </c>
      <c r="D116" s="30" t="s">
        <v>370</v>
      </c>
      <c r="E116" s="28">
        <f t="shared" si="6"/>
        <v>100</v>
      </c>
      <c r="F116" s="26"/>
      <c r="G116" s="32"/>
    </row>
    <row r="117" ht="14.25" customHeight="1">
      <c r="A117" s="25" t="s">
        <v>398</v>
      </c>
      <c r="B117" s="26" t="s">
        <v>24</v>
      </c>
      <c r="C117" s="28">
        <f>IFERROR(VLOOKUP(A117,'Market List'!$B:$F,5,FALSE),0)</f>
        <v>43.18181818</v>
      </c>
      <c r="D117" s="30">
        <v>1.0</v>
      </c>
      <c r="E117" s="28">
        <f t="shared" si="6"/>
        <v>43.18181818</v>
      </c>
      <c r="F117" s="26"/>
      <c r="G117" s="32"/>
    </row>
    <row r="118" ht="14.25" customHeight="1">
      <c r="A118" s="25" t="s">
        <v>412</v>
      </c>
      <c r="B118" s="26" t="s">
        <v>327</v>
      </c>
      <c r="C118" s="28">
        <f>IFERROR(VLOOKUP(A118,'Market List'!$B:$F,5,FALSE),0)</f>
        <v>136</v>
      </c>
      <c r="D118" s="30">
        <v>1.0</v>
      </c>
      <c r="E118" s="28">
        <f t="shared" si="6"/>
        <v>136</v>
      </c>
      <c r="F118" s="26"/>
      <c r="G118" s="32"/>
    </row>
    <row r="119" ht="14.25" customHeight="1">
      <c r="A119" s="25" t="s">
        <v>413</v>
      </c>
      <c r="B119" s="26" t="s">
        <v>24</v>
      </c>
      <c r="C119" s="28">
        <f>IFERROR(VLOOKUP(A119,'Market List'!$B:$F,5,FALSE),0)</f>
        <v>971.8</v>
      </c>
      <c r="D119" s="30">
        <v>2.0</v>
      </c>
      <c r="E119" s="28">
        <f t="shared" si="6"/>
        <v>1943.6</v>
      </c>
      <c r="F119" s="26"/>
      <c r="G119" s="32"/>
    </row>
    <row r="120" ht="14.25" customHeight="1">
      <c r="A120" s="25" t="s">
        <v>352</v>
      </c>
      <c r="B120" s="26" t="s">
        <v>24</v>
      </c>
      <c r="C120" s="28">
        <f>IFERROR(VLOOKUP(A120,'Market List'!$B:$F,5,FALSE),0)</f>
        <v>140</v>
      </c>
      <c r="D120" s="30">
        <v>10.0</v>
      </c>
      <c r="E120" s="28">
        <f t="shared" si="6"/>
        <v>1400</v>
      </c>
      <c r="F120" s="26"/>
      <c r="G120" s="32"/>
    </row>
    <row r="121" ht="14.25" customHeight="1">
      <c r="A121" s="25" t="s">
        <v>212</v>
      </c>
      <c r="B121" s="26" t="s">
        <v>24</v>
      </c>
      <c r="C121" s="28">
        <f>'WIP FOOD'!$B$543</f>
        <v>1225.731863</v>
      </c>
      <c r="D121" s="30">
        <v>28.0</v>
      </c>
      <c r="E121" s="28">
        <f t="shared" si="6"/>
        <v>34320.49218</v>
      </c>
      <c r="F121" s="26"/>
      <c r="G121" s="32"/>
    </row>
    <row r="122" ht="14.25" customHeight="1">
      <c r="A122" s="25" t="s">
        <v>380</v>
      </c>
      <c r="B122" s="26" t="s">
        <v>24</v>
      </c>
      <c r="C122" s="28">
        <f>IFERROR(VLOOKUP(A122,'Market List'!$B:$F,5,FALSE),0)</f>
        <v>0</v>
      </c>
      <c r="D122" s="30">
        <v>4.0</v>
      </c>
      <c r="E122" s="28">
        <f t="shared" si="6"/>
        <v>0</v>
      </c>
      <c r="F122" s="26"/>
      <c r="G122" s="32"/>
    </row>
    <row r="123" ht="14.25" customHeight="1">
      <c r="A123" s="25" t="s">
        <v>58</v>
      </c>
      <c r="B123" s="26" t="s">
        <v>24</v>
      </c>
      <c r="C123" s="28">
        <f>'WIP FOOD'!$B$119</f>
        <v>13.9768795</v>
      </c>
      <c r="D123" s="30">
        <v>4.0</v>
      </c>
      <c r="E123" s="28">
        <f t="shared" si="6"/>
        <v>55.907518</v>
      </c>
      <c r="F123" s="26"/>
      <c r="G123" s="32"/>
    </row>
    <row r="124" ht="14.25" customHeight="1">
      <c r="A124" s="25" t="s">
        <v>383</v>
      </c>
      <c r="B124" s="26" t="s">
        <v>385</v>
      </c>
      <c r="C124" s="28">
        <f>IFERROR(VLOOKUP(A124,'Market List'!$B:$F,5,FALSE),0)</f>
        <v>3600</v>
      </c>
      <c r="D124" s="30" t="s">
        <v>370</v>
      </c>
      <c r="E124" s="28">
        <f t="shared" si="6"/>
        <v>1800</v>
      </c>
      <c r="F124" s="26"/>
      <c r="G124" s="32"/>
    </row>
    <row r="125" ht="14.25" customHeight="1">
      <c r="A125" s="25" t="s">
        <v>416</v>
      </c>
      <c r="B125" s="26" t="s">
        <v>24</v>
      </c>
      <c r="C125" s="28">
        <f>'WIP FOOD'!$B$498</f>
        <v>26.06510152</v>
      </c>
      <c r="D125" s="30">
        <v>40.0</v>
      </c>
      <c r="E125" s="28">
        <f t="shared" si="6"/>
        <v>1042.604061</v>
      </c>
      <c r="F125" s="26"/>
      <c r="G125" s="32"/>
    </row>
    <row r="126" ht="14.25" customHeight="1">
      <c r="A126" s="36" t="s">
        <v>417</v>
      </c>
      <c r="B126" s="37" t="s">
        <v>24</v>
      </c>
      <c r="C126" s="38">
        <f>IFERROR(VLOOKUP(A126,'Market List'!$B:$F,5,FALSE),0)</f>
        <v>1000</v>
      </c>
      <c r="D126" s="39">
        <v>1.0</v>
      </c>
      <c r="E126" s="38">
        <f t="shared" si="6"/>
        <v>1000</v>
      </c>
      <c r="F126" s="37"/>
      <c r="G126" s="41"/>
    </row>
    <row r="127" ht="14.25" customHeight="1">
      <c r="A127" s="42" t="s">
        <v>62</v>
      </c>
      <c r="B127" s="43"/>
      <c r="C127" s="43"/>
      <c r="D127" s="45"/>
      <c r="E127" s="43">
        <v>0.0</v>
      </c>
      <c r="F127" s="43"/>
      <c r="G127" s="46"/>
    </row>
    <row r="128" ht="14.25" customHeight="1">
      <c r="A128" s="47" t="s">
        <v>64</v>
      </c>
      <c r="B128" s="48"/>
      <c r="C128" s="48"/>
      <c r="D128" s="49"/>
      <c r="E128" s="51">
        <f>SUM(E113:E127)</f>
        <v>48948.34526</v>
      </c>
      <c r="F128" s="48" t="s">
        <v>66</v>
      </c>
      <c r="G128" s="52"/>
    </row>
    <row r="129" ht="14.25" customHeight="1">
      <c r="A129" s="47" t="s">
        <v>67</v>
      </c>
      <c r="B129" s="48"/>
      <c r="C129" s="48"/>
      <c r="D129" s="49"/>
      <c r="E129" s="51">
        <f>E128*15%</f>
        <v>7342.251789</v>
      </c>
      <c r="F129" s="48" t="s">
        <v>69</v>
      </c>
      <c r="G129" s="52"/>
    </row>
    <row r="130" ht="14.25" customHeight="1">
      <c r="A130" s="47" t="s">
        <v>70</v>
      </c>
      <c r="B130" s="48"/>
      <c r="C130" s="48"/>
      <c r="D130" s="49"/>
      <c r="E130" s="51">
        <f>E128+E129</f>
        <v>56290.59705</v>
      </c>
      <c r="F130" s="48"/>
      <c r="G130" s="52"/>
    </row>
    <row r="131" ht="14.25" customHeight="1">
      <c r="A131" s="47" t="s">
        <v>71</v>
      </c>
      <c r="B131" s="48"/>
      <c r="C131" s="48"/>
      <c r="D131" s="49"/>
      <c r="E131" s="51">
        <f>IF(E133&gt;0,E133-E130,0)</f>
        <v>0</v>
      </c>
      <c r="F131" s="48"/>
      <c r="G131" s="52"/>
    </row>
    <row r="132" ht="14.25" customHeight="1">
      <c r="A132" s="47" t="s">
        <v>388</v>
      </c>
      <c r="B132" s="48"/>
      <c r="C132" s="48"/>
      <c r="D132" s="49"/>
      <c r="E132" s="56">
        <f>IFERROR(E130/E133,0)</f>
        <v>0</v>
      </c>
      <c r="F132" s="48"/>
      <c r="G132" s="52"/>
    </row>
    <row r="133" ht="14.25" customHeight="1">
      <c r="A133" s="47" t="s">
        <v>11</v>
      </c>
      <c r="B133" s="48"/>
      <c r="C133" s="48"/>
      <c r="D133" s="49"/>
      <c r="E133" s="78"/>
      <c r="F133" s="48"/>
      <c r="G133" s="52"/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22:G22"/>
    <mergeCell ref="A43:G43"/>
    <mergeCell ref="A63:G63"/>
    <mergeCell ref="A87:G87"/>
    <mergeCell ref="A111:G11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281</v>
      </c>
      <c r="B1" s="2"/>
      <c r="C1" s="2"/>
      <c r="D1" s="2"/>
      <c r="E1" s="2"/>
      <c r="F1" s="2"/>
      <c r="G1" s="3"/>
    </row>
    <row r="2" ht="14.25" customHeight="1">
      <c r="A2" s="4" t="s">
        <v>282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 t="s">
        <v>401</v>
      </c>
      <c r="B4" s="15" t="s">
        <v>24</v>
      </c>
      <c r="C4" s="17">
        <f>IFERROR(VLOOKUP(A4,'Market List'!$B:$F,5,FALSE),0)</f>
        <v>394.4</v>
      </c>
      <c r="D4" s="19">
        <v>180.0</v>
      </c>
      <c r="E4" s="17">
        <f t="shared" ref="E4:E11" si="1">IFERROR(C4*D4,0)</f>
        <v>70992</v>
      </c>
      <c r="F4" s="15" t="s">
        <v>402</v>
      </c>
      <c r="G4" s="24"/>
    </row>
    <row r="5" ht="14.25" customHeight="1">
      <c r="A5" s="25" t="s">
        <v>103</v>
      </c>
      <c r="B5" s="26"/>
      <c r="C5" s="28">
        <f>IFERROR(VLOOKUP(A5,'Market List'!$B:$F,5,FALSE),0)</f>
        <v>35</v>
      </c>
      <c r="D5" s="30"/>
      <c r="E5" s="28">
        <f t="shared" si="1"/>
        <v>0</v>
      </c>
      <c r="F5" s="26" t="s">
        <v>403</v>
      </c>
      <c r="G5" s="32"/>
    </row>
    <row r="6" ht="14.25" customHeight="1">
      <c r="A6" s="25" t="s">
        <v>352</v>
      </c>
      <c r="B6" s="26"/>
      <c r="C6" s="28">
        <f>IFERROR(VLOOKUP(A6,'Market List'!$B:$F,5,FALSE),0)</f>
        <v>140</v>
      </c>
      <c r="D6" s="30"/>
      <c r="E6" s="28">
        <f t="shared" si="1"/>
        <v>0</v>
      </c>
      <c r="F6" s="26" t="s">
        <v>404</v>
      </c>
      <c r="G6" s="32"/>
    </row>
    <row r="7" ht="14.25" customHeight="1">
      <c r="A7" s="25" t="s">
        <v>405</v>
      </c>
      <c r="B7" s="26"/>
      <c r="C7" s="28">
        <f>IFERROR(VLOOKUP(A7,'Market List'!$B:$F,5,FALSE),0)</f>
        <v>69</v>
      </c>
      <c r="D7" s="30"/>
      <c r="E7" s="28">
        <f t="shared" si="1"/>
        <v>0</v>
      </c>
      <c r="F7" s="26"/>
      <c r="G7" s="32"/>
    </row>
    <row r="8" ht="14.25" customHeight="1">
      <c r="A8" s="25"/>
      <c r="B8" s="26"/>
      <c r="C8" s="28"/>
      <c r="D8" s="30"/>
      <c r="E8" s="28">
        <f t="shared" si="1"/>
        <v>0</v>
      </c>
      <c r="F8" s="26"/>
      <c r="G8" s="32"/>
    </row>
    <row r="9" ht="14.25" customHeight="1">
      <c r="A9" s="25"/>
      <c r="B9" s="26"/>
      <c r="C9" s="28"/>
      <c r="D9" s="30"/>
      <c r="E9" s="28">
        <f t="shared" si="1"/>
        <v>0</v>
      </c>
      <c r="F9" s="26"/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70992</v>
      </c>
      <c r="F13" s="48" t="s">
        <v>66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10648.8</v>
      </c>
      <c r="F14" s="48" t="s">
        <v>69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81640.8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0</v>
      </c>
      <c r="F16" s="48"/>
      <c r="G16" s="52"/>
    </row>
    <row r="17" ht="14.25" customHeight="1">
      <c r="A17" s="47" t="s">
        <v>388</v>
      </c>
      <c r="B17" s="48"/>
      <c r="C17" s="48"/>
      <c r="D17" s="49"/>
      <c r="E17" s="56">
        <f>IFERROR(E15/E18,0)</f>
        <v>0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78"/>
      <c r="F18" s="48"/>
      <c r="G18" s="52"/>
    </row>
    <row r="19" ht="14.25" customHeight="1">
      <c r="D19" s="60"/>
    </row>
    <row r="20" ht="14.25" customHeight="1">
      <c r="A20" s="4" t="s">
        <v>284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/>
      <c r="B22" s="15"/>
      <c r="C22" s="17"/>
      <c r="D22" s="19"/>
      <c r="E22" s="17">
        <f t="shared" ref="E22:E29" si="2">IFERROR(C22*D22,0)</f>
        <v>0</v>
      </c>
      <c r="F22" s="15" t="s">
        <v>26</v>
      </c>
      <c r="G22" s="24"/>
    </row>
    <row r="23" ht="14.25" customHeight="1">
      <c r="A23" s="25"/>
      <c r="B23" s="26"/>
      <c r="C23" s="28"/>
      <c r="D23" s="30"/>
      <c r="E23" s="28">
        <f t="shared" si="2"/>
        <v>0</v>
      </c>
      <c r="F23" s="26"/>
      <c r="G23" s="32"/>
    </row>
    <row r="24" ht="14.25" customHeight="1">
      <c r="A24" s="25"/>
      <c r="B24" s="26"/>
      <c r="C24" s="28"/>
      <c r="D24" s="30"/>
      <c r="E24" s="28">
        <f t="shared" si="2"/>
        <v>0</v>
      </c>
      <c r="F24" s="26"/>
      <c r="G24" s="32"/>
    </row>
    <row r="25" ht="14.25" customHeight="1">
      <c r="A25" s="25"/>
      <c r="B25" s="26"/>
      <c r="C25" s="28"/>
      <c r="D25" s="30"/>
      <c r="E25" s="28">
        <f t="shared" si="2"/>
        <v>0</v>
      </c>
      <c r="F25" s="26"/>
      <c r="G25" s="32"/>
    </row>
    <row r="26" ht="14.25" customHeight="1">
      <c r="A26" s="25"/>
      <c r="B26" s="26"/>
      <c r="C26" s="28"/>
      <c r="D26" s="30"/>
      <c r="E26" s="28">
        <f t="shared" si="2"/>
        <v>0</v>
      </c>
      <c r="F26" s="26"/>
      <c r="G26" s="32"/>
    </row>
    <row r="27" ht="14.25" customHeight="1">
      <c r="A27" s="25"/>
      <c r="B27" s="26"/>
      <c r="C27" s="28"/>
      <c r="D27" s="30"/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0</v>
      </c>
      <c r="F31" s="48" t="s">
        <v>74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0</v>
      </c>
      <c r="F32" s="48" t="s">
        <v>76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0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0</v>
      </c>
      <c r="F34" s="48"/>
      <c r="G34" s="52"/>
    </row>
    <row r="35" ht="14.25" customHeight="1">
      <c r="A35" s="47" t="s">
        <v>388</v>
      </c>
      <c r="B35" s="48"/>
      <c r="C35" s="48"/>
      <c r="D35" s="49"/>
      <c r="E35" s="56">
        <f>IFERROR(E33/E36,0)</f>
        <v>0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78"/>
      <c r="F36" s="48"/>
      <c r="G36" s="52"/>
    </row>
    <row r="37" ht="14.25" customHeight="1">
      <c r="D37" s="60"/>
    </row>
    <row r="38" ht="14.25" customHeight="1">
      <c r="A38" s="4" t="s">
        <v>286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/>
      <c r="B40" s="15"/>
      <c r="C40" s="17"/>
      <c r="D40" s="19"/>
      <c r="E40" s="17">
        <f t="shared" ref="E40:E47" si="3">IFERROR(C40*D40,0)</f>
        <v>0</v>
      </c>
      <c r="F40" s="15" t="s">
        <v>26</v>
      </c>
      <c r="G40" s="24"/>
    </row>
    <row r="41" ht="14.25" customHeight="1">
      <c r="A41" s="25"/>
      <c r="B41" s="26"/>
      <c r="C41" s="28"/>
      <c r="D41" s="30"/>
      <c r="E41" s="28">
        <f t="shared" si="3"/>
        <v>0</v>
      </c>
      <c r="F41" s="26"/>
      <c r="G41" s="32"/>
    </row>
    <row r="42" ht="14.25" customHeight="1">
      <c r="A42" s="25"/>
      <c r="B42" s="26"/>
      <c r="C42" s="28"/>
      <c r="D42" s="30"/>
      <c r="E42" s="28">
        <f t="shared" si="3"/>
        <v>0</v>
      </c>
      <c r="F42" s="26"/>
      <c r="G42" s="32"/>
    </row>
    <row r="43" ht="14.25" customHeight="1">
      <c r="A43" s="25"/>
      <c r="B43" s="26"/>
      <c r="C43" s="28"/>
      <c r="D43" s="30"/>
      <c r="E43" s="28">
        <f t="shared" si="3"/>
        <v>0</v>
      </c>
      <c r="F43" s="26"/>
      <c r="G43" s="32"/>
    </row>
    <row r="44" ht="14.25" customHeight="1">
      <c r="A44" s="25"/>
      <c r="B44" s="26"/>
      <c r="C44" s="28"/>
      <c r="D44" s="30"/>
      <c r="E44" s="28">
        <f t="shared" si="3"/>
        <v>0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0</v>
      </c>
      <c r="F49" s="48" t="s">
        <v>74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0</v>
      </c>
      <c r="F50" s="48" t="s">
        <v>76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0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0</v>
      </c>
      <c r="F52" s="48"/>
      <c r="G52" s="52"/>
    </row>
    <row r="53" ht="14.25" customHeight="1">
      <c r="A53" s="47" t="s">
        <v>388</v>
      </c>
      <c r="B53" s="48"/>
      <c r="C53" s="48"/>
      <c r="D53" s="49"/>
      <c r="E53" s="56">
        <f>IFERROR(E51/E54,0)</f>
        <v>0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78"/>
      <c r="F54" s="48"/>
      <c r="G54" s="52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20:G20"/>
    <mergeCell ref="A38:G3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289</v>
      </c>
      <c r="B1" s="2"/>
      <c r="C1" s="2"/>
      <c r="D1" s="2"/>
      <c r="E1" s="2"/>
      <c r="F1" s="2"/>
      <c r="G1" s="3"/>
    </row>
    <row r="2" ht="14.25" customHeight="1">
      <c r="A2" s="4" t="s">
        <v>291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/>
      <c r="B4" s="15"/>
      <c r="C4" s="17"/>
      <c r="D4" s="19"/>
      <c r="E4" s="17">
        <f t="shared" ref="E4:E11" si="1">IFERROR(C4*D4,0)</f>
        <v>0</v>
      </c>
      <c r="F4" s="15" t="s">
        <v>26</v>
      </c>
      <c r="G4" s="24"/>
    </row>
    <row r="5" ht="14.25" customHeight="1">
      <c r="A5" s="25"/>
      <c r="B5" s="26"/>
      <c r="C5" s="28"/>
      <c r="D5" s="30"/>
      <c r="E5" s="28">
        <f t="shared" si="1"/>
        <v>0</v>
      </c>
      <c r="F5" s="26"/>
      <c r="G5" s="32"/>
    </row>
    <row r="6" ht="14.25" customHeight="1">
      <c r="A6" s="25"/>
      <c r="B6" s="26"/>
      <c r="C6" s="28"/>
      <c r="D6" s="30"/>
      <c r="E6" s="28">
        <f t="shared" si="1"/>
        <v>0</v>
      </c>
      <c r="F6" s="26"/>
      <c r="G6" s="32"/>
    </row>
    <row r="7" ht="14.25" customHeight="1">
      <c r="A7" s="25"/>
      <c r="B7" s="26"/>
      <c r="C7" s="28"/>
      <c r="D7" s="30"/>
      <c r="E7" s="28">
        <f t="shared" si="1"/>
        <v>0</v>
      </c>
      <c r="F7" s="26"/>
      <c r="G7" s="32"/>
    </row>
    <row r="8" ht="14.25" customHeight="1">
      <c r="A8" s="25"/>
      <c r="B8" s="26"/>
      <c r="C8" s="28"/>
      <c r="D8" s="30"/>
      <c r="E8" s="28">
        <f t="shared" si="1"/>
        <v>0</v>
      </c>
      <c r="F8" s="26"/>
      <c r="G8" s="32"/>
    </row>
    <row r="9" ht="14.25" customHeight="1">
      <c r="A9" s="25"/>
      <c r="B9" s="26"/>
      <c r="C9" s="28"/>
      <c r="D9" s="30"/>
      <c r="E9" s="28">
        <f t="shared" si="1"/>
        <v>0</v>
      </c>
      <c r="F9" s="26"/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0</v>
      </c>
      <c r="F13" s="48" t="s">
        <v>74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0</v>
      </c>
      <c r="F14" s="48" t="s">
        <v>76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0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0</v>
      </c>
      <c r="F16" s="48"/>
      <c r="G16" s="52"/>
    </row>
    <row r="17" ht="14.25" customHeight="1">
      <c r="A17" s="47" t="s">
        <v>388</v>
      </c>
      <c r="B17" s="48"/>
      <c r="C17" s="48"/>
      <c r="D17" s="49"/>
      <c r="E17" s="56">
        <f>IFERROR(E15/E18,0)</f>
        <v>0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78"/>
      <c r="F18" s="48"/>
      <c r="G18" s="52"/>
    </row>
    <row r="19" ht="14.25" customHeight="1">
      <c r="D19" s="60"/>
    </row>
    <row r="20" ht="14.25" customHeight="1">
      <c r="A20" s="4" t="s">
        <v>294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/>
      <c r="B22" s="15"/>
      <c r="C22" s="17"/>
      <c r="D22" s="19"/>
      <c r="E22" s="17">
        <f t="shared" ref="E22:E29" si="2">IFERROR(C22*D22,0)</f>
        <v>0</v>
      </c>
      <c r="F22" s="15" t="s">
        <v>26</v>
      </c>
      <c r="G22" s="24"/>
    </row>
    <row r="23" ht="14.25" customHeight="1">
      <c r="A23" s="25"/>
      <c r="B23" s="26"/>
      <c r="C23" s="28"/>
      <c r="D23" s="30"/>
      <c r="E23" s="28">
        <f t="shared" si="2"/>
        <v>0</v>
      </c>
      <c r="F23" s="26"/>
      <c r="G23" s="32"/>
    </row>
    <row r="24" ht="14.25" customHeight="1">
      <c r="A24" s="25"/>
      <c r="B24" s="26"/>
      <c r="C24" s="28"/>
      <c r="D24" s="30"/>
      <c r="E24" s="28">
        <f t="shared" si="2"/>
        <v>0</v>
      </c>
      <c r="F24" s="26"/>
      <c r="G24" s="32"/>
    </row>
    <row r="25" ht="14.25" customHeight="1">
      <c r="A25" s="25"/>
      <c r="B25" s="26"/>
      <c r="C25" s="28"/>
      <c r="D25" s="30"/>
      <c r="E25" s="28">
        <f t="shared" si="2"/>
        <v>0</v>
      </c>
      <c r="F25" s="26"/>
      <c r="G25" s="32"/>
    </row>
    <row r="26" ht="14.25" customHeight="1">
      <c r="A26" s="25"/>
      <c r="B26" s="26"/>
      <c r="C26" s="28"/>
      <c r="D26" s="30"/>
      <c r="E26" s="28">
        <f t="shared" si="2"/>
        <v>0</v>
      </c>
      <c r="F26" s="26"/>
      <c r="G26" s="32"/>
    </row>
    <row r="27" ht="14.25" customHeight="1">
      <c r="A27" s="25"/>
      <c r="B27" s="26"/>
      <c r="C27" s="28"/>
      <c r="D27" s="30"/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0</v>
      </c>
      <c r="F31" s="48" t="s">
        <v>74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0</v>
      </c>
      <c r="F32" s="48" t="s">
        <v>76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0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0</v>
      </c>
      <c r="F34" s="48"/>
      <c r="G34" s="52"/>
    </row>
    <row r="35" ht="14.25" customHeight="1">
      <c r="A35" s="47" t="s">
        <v>388</v>
      </c>
      <c r="B35" s="48"/>
      <c r="C35" s="48"/>
      <c r="D35" s="49"/>
      <c r="E35" s="56">
        <f>IFERROR(E33/E36,0)</f>
        <v>0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78"/>
      <c r="F36" s="48"/>
      <c r="G36" s="52"/>
    </row>
    <row r="37" ht="14.25" customHeight="1">
      <c r="D37" s="60"/>
    </row>
    <row r="38" ht="14.25" customHeight="1">
      <c r="A38" s="4" t="s">
        <v>296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/>
      <c r="B40" s="15"/>
      <c r="C40" s="17"/>
      <c r="D40" s="19"/>
      <c r="E40" s="17">
        <f t="shared" ref="E40:E47" si="3">IFERROR(C40*D40,0)</f>
        <v>0</v>
      </c>
      <c r="F40" s="15" t="s">
        <v>26</v>
      </c>
      <c r="G40" s="24"/>
    </row>
    <row r="41" ht="14.25" customHeight="1">
      <c r="A41" s="25"/>
      <c r="B41" s="26"/>
      <c r="C41" s="28"/>
      <c r="D41" s="30"/>
      <c r="E41" s="28">
        <f t="shared" si="3"/>
        <v>0</v>
      </c>
      <c r="F41" s="26"/>
      <c r="G41" s="32"/>
    </row>
    <row r="42" ht="14.25" customHeight="1">
      <c r="A42" s="25"/>
      <c r="B42" s="26"/>
      <c r="C42" s="28"/>
      <c r="D42" s="30"/>
      <c r="E42" s="28">
        <f t="shared" si="3"/>
        <v>0</v>
      </c>
      <c r="F42" s="26"/>
      <c r="G42" s="32"/>
    </row>
    <row r="43" ht="14.25" customHeight="1">
      <c r="A43" s="25"/>
      <c r="B43" s="26"/>
      <c r="C43" s="28"/>
      <c r="D43" s="30"/>
      <c r="E43" s="28">
        <f t="shared" si="3"/>
        <v>0</v>
      </c>
      <c r="F43" s="26"/>
      <c r="G43" s="32"/>
    </row>
    <row r="44" ht="14.25" customHeight="1">
      <c r="A44" s="25"/>
      <c r="B44" s="26"/>
      <c r="C44" s="28"/>
      <c r="D44" s="30"/>
      <c r="E44" s="28">
        <f t="shared" si="3"/>
        <v>0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0</v>
      </c>
      <c r="F49" s="48" t="s">
        <v>74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0</v>
      </c>
      <c r="F50" s="48" t="s">
        <v>76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0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0</v>
      </c>
      <c r="F52" s="48"/>
      <c r="G52" s="52"/>
    </row>
    <row r="53" ht="14.25" customHeight="1">
      <c r="A53" s="47" t="s">
        <v>388</v>
      </c>
      <c r="B53" s="48"/>
      <c r="C53" s="48"/>
      <c r="D53" s="49"/>
      <c r="E53" s="56">
        <f>IFERROR(E51/E54,0)</f>
        <v>0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78"/>
      <c r="F54" s="48"/>
      <c r="G54" s="52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20:G20"/>
    <mergeCell ref="A38:G3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298</v>
      </c>
      <c r="B1" s="2"/>
      <c r="C1" s="2"/>
      <c r="D1" s="2"/>
      <c r="E1" s="2"/>
      <c r="F1" s="2"/>
      <c r="G1" s="3"/>
    </row>
    <row r="2" ht="14.25" customHeight="1">
      <c r="A2" s="4" t="s">
        <v>299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/>
      <c r="B4" s="15"/>
      <c r="C4" s="17"/>
      <c r="D4" s="19"/>
      <c r="E4" s="17">
        <f t="shared" ref="E4:E11" si="1">IFERROR(C4*D4,0)</f>
        <v>0</v>
      </c>
      <c r="F4" s="15" t="s">
        <v>26</v>
      </c>
      <c r="G4" s="24"/>
    </row>
    <row r="5" ht="14.25" customHeight="1">
      <c r="A5" s="25"/>
      <c r="B5" s="26"/>
      <c r="C5" s="28"/>
      <c r="D5" s="30"/>
      <c r="E5" s="28">
        <f t="shared" si="1"/>
        <v>0</v>
      </c>
      <c r="F5" s="26"/>
      <c r="G5" s="32"/>
    </row>
    <row r="6" ht="14.25" customHeight="1">
      <c r="A6" s="25"/>
      <c r="B6" s="26"/>
      <c r="C6" s="28"/>
      <c r="D6" s="30"/>
      <c r="E6" s="28">
        <f t="shared" si="1"/>
        <v>0</v>
      </c>
      <c r="F6" s="26"/>
      <c r="G6" s="32"/>
    </row>
    <row r="7" ht="14.25" customHeight="1">
      <c r="A7" s="25"/>
      <c r="B7" s="26"/>
      <c r="C7" s="28"/>
      <c r="D7" s="30"/>
      <c r="E7" s="28">
        <f t="shared" si="1"/>
        <v>0</v>
      </c>
      <c r="F7" s="26"/>
      <c r="G7" s="32"/>
    </row>
    <row r="8" ht="14.25" customHeight="1">
      <c r="A8" s="25"/>
      <c r="B8" s="26"/>
      <c r="C8" s="28"/>
      <c r="D8" s="30"/>
      <c r="E8" s="28">
        <f t="shared" si="1"/>
        <v>0</v>
      </c>
      <c r="F8" s="26"/>
      <c r="G8" s="32"/>
    </row>
    <row r="9" ht="14.25" customHeight="1">
      <c r="A9" s="25"/>
      <c r="B9" s="26"/>
      <c r="C9" s="28"/>
      <c r="D9" s="30"/>
      <c r="E9" s="28">
        <f t="shared" si="1"/>
        <v>0</v>
      </c>
      <c r="F9" s="26"/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0</v>
      </c>
      <c r="F13" s="48" t="s">
        <v>74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0</v>
      </c>
      <c r="F14" s="48" t="s">
        <v>76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0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0</v>
      </c>
      <c r="F16" s="48"/>
      <c r="G16" s="52"/>
    </row>
    <row r="17" ht="14.25" customHeight="1">
      <c r="A17" s="47" t="s">
        <v>388</v>
      </c>
      <c r="B17" s="48"/>
      <c r="C17" s="48"/>
      <c r="D17" s="49"/>
      <c r="E17" s="56">
        <f>IFERROR(E15/E18,0)</f>
        <v>0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78"/>
      <c r="F18" s="48"/>
      <c r="G18" s="52"/>
    </row>
    <row r="19" ht="14.25" customHeight="1">
      <c r="D19" s="60"/>
    </row>
    <row r="20" ht="14.25" customHeight="1">
      <c r="A20" s="4" t="s">
        <v>302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/>
      <c r="B22" s="15"/>
      <c r="C22" s="17"/>
      <c r="D22" s="19"/>
      <c r="E22" s="17">
        <f t="shared" ref="E22:E29" si="2">IFERROR(C22*D22,0)</f>
        <v>0</v>
      </c>
      <c r="F22" s="15" t="s">
        <v>26</v>
      </c>
      <c r="G22" s="24"/>
    </row>
    <row r="23" ht="14.25" customHeight="1">
      <c r="A23" s="25"/>
      <c r="B23" s="26"/>
      <c r="C23" s="28"/>
      <c r="D23" s="30"/>
      <c r="E23" s="28">
        <f t="shared" si="2"/>
        <v>0</v>
      </c>
      <c r="F23" s="26"/>
      <c r="G23" s="32"/>
    </row>
    <row r="24" ht="14.25" customHeight="1">
      <c r="A24" s="25"/>
      <c r="B24" s="26"/>
      <c r="C24" s="28"/>
      <c r="D24" s="30"/>
      <c r="E24" s="28">
        <f t="shared" si="2"/>
        <v>0</v>
      </c>
      <c r="F24" s="26"/>
      <c r="G24" s="32"/>
    </row>
    <row r="25" ht="14.25" customHeight="1">
      <c r="A25" s="25"/>
      <c r="B25" s="26"/>
      <c r="C25" s="28"/>
      <c r="D25" s="30"/>
      <c r="E25" s="28">
        <f t="shared" si="2"/>
        <v>0</v>
      </c>
      <c r="F25" s="26"/>
      <c r="G25" s="32"/>
    </row>
    <row r="26" ht="14.25" customHeight="1">
      <c r="A26" s="25"/>
      <c r="B26" s="26"/>
      <c r="C26" s="28"/>
      <c r="D26" s="30"/>
      <c r="E26" s="28">
        <f t="shared" si="2"/>
        <v>0</v>
      </c>
      <c r="F26" s="26"/>
      <c r="G26" s="32"/>
    </row>
    <row r="27" ht="14.25" customHeight="1">
      <c r="A27" s="25"/>
      <c r="B27" s="26"/>
      <c r="C27" s="28"/>
      <c r="D27" s="30"/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0</v>
      </c>
      <c r="F31" s="48" t="s">
        <v>74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0</v>
      </c>
      <c r="F32" s="48" t="s">
        <v>76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0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0</v>
      </c>
      <c r="F34" s="48"/>
      <c r="G34" s="52"/>
    </row>
    <row r="35" ht="14.25" customHeight="1">
      <c r="A35" s="47" t="s">
        <v>388</v>
      </c>
      <c r="B35" s="48"/>
      <c r="C35" s="48"/>
      <c r="D35" s="49"/>
      <c r="E35" s="56">
        <f>IFERROR(E33/E36,0)</f>
        <v>0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78"/>
      <c r="F36" s="48"/>
      <c r="G36" s="52"/>
    </row>
    <row r="37" ht="14.25" customHeight="1">
      <c r="D37" s="60"/>
    </row>
    <row r="38" ht="14.25" customHeight="1">
      <c r="A38" s="4" t="s">
        <v>304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/>
      <c r="B40" s="15"/>
      <c r="C40" s="17"/>
      <c r="D40" s="19"/>
      <c r="E40" s="17">
        <f t="shared" ref="E40:E47" si="3">IFERROR(C40*D40,0)</f>
        <v>0</v>
      </c>
      <c r="F40" s="15" t="s">
        <v>26</v>
      </c>
      <c r="G40" s="24"/>
    </row>
    <row r="41" ht="14.25" customHeight="1">
      <c r="A41" s="25"/>
      <c r="B41" s="26"/>
      <c r="C41" s="28"/>
      <c r="D41" s="30"/>
      <c r="E41" s="28">
        <f t="shared" si="3"/>
        <v>0</v>
      </c>
      <c r="F41" s="26"/>
      <c r="G41" s="32"/>
    </row>
    <row r="42" ht="14.25" customHeight="1">
      <c r="A42" s="25"/>
      <c r="B42" s="26"/>
      <c r="C42" s="28"/>
      <c r="D42" s="30"/>
      <c r="E42" s="28">
        <f t="shared" si="3"/>
        <v>0</v>
      </c>
      <c r="F42" s="26"/>
      <c r="G42" s="32"/>
    </row>
    <row r="43" ht="14.25" customHeight="1">
      <c r="A43" s="25"/>
      <c r="B43" s="26"/>
      <c r="C43" s="28"/>
      <c r="D43" s="30"/>
      <c r="E43" s="28">
        <f t="shared" si="3"/>
        <v>0</v>
      </c>
      <c r="F43" s="26"/>
      <c r="G43" s="32"/>
    </row>
    <row r="44" ht="14.25" customHeight="1">
      <c r="A44" s="25"/>
      <c r="B44" s="26"/>
      <c r="C44" s="28"/>
      <c r="D44" s="30"/>
      <c r="E44" s="28">
        <f t="shared" si="3"/>
        <v>0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0</v>
      </c>
      <c r="F49" s="48" t="s">
        <v>74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0</v>
      </c>
      <c r="F50" s="48" t="s">
        <v>76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0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0</v>
      </c>
      <c r="F52" s="48"/>
      <c r="G52" s="52"/>
    </row>
    <row r="53" ht="14.25" customHeight="1">
      <c r="A53" s="47" t="s">
        <v>388</v>
      </c>
      <c r="B53" s="48"/>
      <c r="C53" s="48"/>
      <c r="D53" s="49"/>
      <c r="E53" s="56">
        <f>IFERROR(E51/E54,0)</f>
        <v>0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78"/>
      <c r="F54" s="48"/>
      <c r="G54" s="52"/>
    </row>
    <row r="55" ht="14.25" customHeight="1">
      <c r="D55" s="60"/>
    </row>
    <row r="56" ht="14.25" customHeight="1">
      <c r="A56" s="4" t="s">
        <v>308</v>
      </c>
    </row>
    <row r="57" ht="14.25" customHeight="1">
      <c r="A57" s="6" t="s">
        <v>8</v>
      </c>
      <c r="B57" s="8" t="s">
        <v>10</v>
      </c>
      <c r="C57" s="8" t="s">
        <v>12</v>
      </c>
      <c r="D57" s="10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/>
      <c r="B58" s="15"/>
      <c r="C58" s="17"/>
      <c r="D58" s="19"/>
      <c r="E58" s="17">
        <f t="shared" ref="E58:E65" si="4">IFERROR(C58*D58,0)</f>
        <v>0</v>
      </c>
      <c r="F58" s="15" t="s">
        <v>26</v>
      </c>
      <c r="G58" s="24"/>
    </row>
    <row r="59" ht="14.25" customHeight="1">
      <c r="A59" s="25"/>
      <c r="B59" s="26"/>
      <c r="C59" s="28"/>
      <c r="D59" s="30"/>
      <c r="E59" s="28">
        <f t="shared" si="4"/>
        <v>0</v>
      </c>
      <c r="F59" s="26"/>
      <c r="G59" s="32"/>
    </row>
    <row r="60" ht="14.25" customHeight="1">
      <c r="A60" s="25"/>
      <c r="B60" s="26"/>
      <c r="C60" s="28"/>
      <c r="D60" s="30"/>
      <c r="E60" s="28">
        <f t="shared" si="4"/>
        <v>0</v>
      </c>
      <c r="F60" s="26"/>
      <c r="G60" s="32"/>
    </row>
    <row r="61" ht="14.25" customHeight="1">
      <c r="A61" s="25"/>
      <c r="B61" s="26"/>
      <c r="C61" s="28"/>
      <c r="D61" s="30"/>
      <c r="E61" s="28">
        <f t="shared" si="4"/>
        <v>0</v>
      </c>
      <c r="F61" s="26"/>
      <c r="G61" s="32"/>
    </row>
    <row r="62" ht="14.25" customHeight="1">
      <c r="A62" s="25"/>
      <c r="B62" s="26"/>
      <c r="C62" s="28"/>
      <c r="D62" s="30"/>
      <c r="E62" s="28">
        <f t="shared" si="4"/>
        <v>0</v>
      </c>
      <c r="F62" s="26"/>
      <c r="G62" s="32"/>
    </row>
    <row r="63" ht="14.25" customHeight="1">
      <c r="A63" s="25"/>
      <c r="B63" s="26"/>
      <c r="C63" s="28"/>
      <c r="D63" s="30"/>
      <c r="E63" s="28">
        <f t="shared" si="4"/>
        <v>0</v>
      </c>
      <c r="F63" s="26"/>
      <c r="G63" s="32"/>
    </row>
    <row r="64" ht="14.25" customHeight="1">
      <c r="A64" s="25"/>
      <c r="B64" s="26"/>
      <c r="C64" s="28"/>
      <c r="D64" s="30"/>
      <c r="E64" s="28">
        <f t="shared" si="4"/>
        <v>0</v>
      </c>
      <c r="F64" s="26"/>
      <c r="G64" s="32"/>
    </row>
    <row r="65" ht="14.25" customHeight="1">
      <c r="A65" s="36"/>
      <c r="B65" s="37"/>
      <c r="C65" s="38"/>
      <c r="D65" s="39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5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49"/>
      <c r="E67" s="51">
        <f>SUM(E58:E66)</f>
        <v>0</v>
      </c>
      <c r="F67" s="48" t="s">
        <v>74</v>
      </c>
      <c r="G67" s="52"/>
    </row>
    <row r="68" ht="14.25" customHeight="1">
      <c r="A68" s="47" t="s">
        <v>67</v>
      </c>
      <c r="B68" s="48"/>
      <c r="C68" s="48"/>
      <c r="D68" s="49"/>
      <c r="E68" s="51">
        <f>E67*15%</f>
        <v>0</v>
      </c>
      <c r="F68" s="48" t="s">
        <v>76</v>
      </c>
      <c r="G68" s="52"/>
    </row>
    <row r="69" ht="14.25" customHeight="1">
      <c r="A69" s="47" t="s">
        <v>70</v>
      </c>
      <c r="B69" s="48"/>
      <c r="C69" s="48"/>
      <c r="D69" s="49"/>
      <c r="E69" s="51">
        <f>E67+E68</f>
        <v>0</v>
      </c>
      <c r="F69" s="48"/>
      <c r="G69" s="52"/>
    </row>
    <row r="70" ht="14.25" customHeight="1">
      <c r="A70" s="47" t="s">
        <v>71</v>
      </c>
      <c r="B70" s="48"/>
      <c r="C70" s="48"/>
      <c r="D70" s="49"/>
      <c r="E70" s="51">
        <f>IF(E72&gt;0,E72-E69,0)</f>
        <v>0</v>
      </c>
      <c r="F70" s="48"/>
      <c r="G70" s="52"/>
    </row>
    <row r="71" ht="14.25" customHeight="1">
      <c r="A71" s="47" t="s">
        <v>388</v>
      </c>
      <c r="B71" s="48"/>
      <c r="C71" s="48"/>
      <c r="D71" s="49"/>
      <c r="E71" s="56">
        <f>IFERROR(E69/E72,0)</f>
        <v>0</v>
      </c>
      <c r="F71" s="48"/>
      <c r="G71" s="52"/>
    </row>
    <row r="72" ht="14.25" customHeight="1">
      <c r="A72" s="47" t="s">
        <v>11</v>
      </c>
      <c r="B72" s="48"/>
      <c r="C72" s="48"/>
      <c r="D72" s="49"/>
      <c r="E72" s="78"/>
      <c r="F72" s="48"/>
      <c r="G72" s="52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20:G20"/>
    <mergeCell ref="A38:G38"/>
    <mergeCell ref="A56:G5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 ht="33.75" customHeight="1">
      <c r="A1" s="1" t="s">
        <v>310</v>
      </c>
      <c r="B1" s="2"/>
      <c r="C1" s="2"/>
      <c r="D1" s="2"/>
      <c r="E1" s="2"/>
      <c r="F1" s="2"/>
      <c r="G1" s="3"/>
    </row>
    <row r="2" ht="14.25" customHeight="1">
      <c r="A2" s="4" t="s">
        <v>313</v>
      </c>
    </row>
    <row r="3" ht="14.25" customHeight="1">
      <c r="A3" s="6" t="s">
        <v>8</v>
      </c>
      <c r="B3" s="8" t="s">
        <v>10</v>
      </c>
      <c r="C3" s="8" t="s">
        <v>12</v>
      </c>
      <c r="D3" s="10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4"/>
      <c r="B4" s="15"/>
      <c r="C4" s="17"/>
      <c r="D4" s="19"/>
      <c r="E4" s="17">
        <f t="shared" ref="E4:E11" si="1">IFERROR(C4*D4,0)</f>
        <v>0</v>
      </c>
      <c r="F4" s="15" t="s">
        <v>26</v>
      </c>
      <c r="G4" s="24"/>
    </row>
    <row r="5" ht="14.25" customHeight="1">
      <c r="A5" s="25"/>
      <c r="B5" s="26"/>
      <c r="C5" s="28"/>
      <c r="D5" s="30"/>
      <c r="E5" s="28">
        <f t="shared" si="1"/>
        <v>0</v>
      </c>
      <c r="F5" s="26"/>
      <c r="G5" s="32"/>
    </row>
    <row r="6" ht="14.25" customHeight="1">
      <c r="A6" s="25"/>
      <c r="B6" s="26"/>
      <c r="C6" s="28"/>
      <c r="D6" s="30"/>
      <c r="E6" s="28">
        <f t="shared" si="1"/>
        <v>0</v>
      </c>
      <c r="F6" s="26"/>
      <c r="G6" s="32"/>
    </row>
    <row r="7" ht="14.25" customHeight="1">
      <c r="A7" s="25"/>
      <c r="B7" s="26"/>
      <c r="C7" s="28"/>
      <c r="D7" s="30"/>
      <c r="E7" s="28">
        <f t="shared" si="1"/>
        <v>0</v>
      </c>
      <c r="F7" s="26"/>
      <c r="G7" s="32"/>
    </row>
    <row r="8" ht="14.25" customHeight="1">
      <c r="A8" s="25"/>
      <c r="B8" s="26"/>
      <c r="C8" s="28"/>
      <c r="D8" s="30"/>
      <c r="E8" s="28">
        <f t="shared" si="1"/>
        <v>0</v>
      </c>
      <c r="F8" s="26"/>
      <c r="G8" s="32"/>
    </row>
    <row r="9" ht="14.25" customHeight="1">
      <c r="A9" s="25"/>
      <c r="B9" s="26"/>
      <c r="C9" s="28"/>
      <c r="D9" s="30"/>
      <c r="E9" s="28">
        <f t="shared" si="1"/>
        <v>0</v>
      </c>
      <c r="F9" s="26"/>
      <c r="G9" s="32"/>
    </row>
    <row r="10" ht="14.25" customHeight="1">
      <c r="A10" s="25"/>
      <c r="B10" s="26"/>
      <c r="C10" s="28"/>
      <c r="D10" s="30"/>
      <c r="E10" s="28">
        <f t="shared" si="1"/>
        <v>0</v>
      </c>
      <c r="F10" s="26"/>
      <c r="G10" s="32"/>
    </row>
    <row r="11" ht="14.25" customHeight="1">
      <c r="A11" s="36"/>
      <c r="B11" s="37"/>
      <c r="C11" s="38"/>
      <c r="D11" s="39"/>
      <c r="E11" s="38">
        <f t="shared" si="1"/>
        <v>0</v>
      </c>
      <c r="F11" s="37"/>
      <c r="G11" s="41"/>
    </row>
    <row r="12" ht="14.25" customHeight="1">
      <c r="A12" s="42" t="s">
        <v>62</v>
      </c>
      <c r="B12" s="43"/>
      <c r="C12" s="43"/>
      <c r="D12" s="45"/>
      <c r="E12" s="43">
        <v>0.0</v>
      </c>
      <c r="F12" s="43"/>
      <c r="G12" s="46"/>
    </row>
    <row r="13" ht="14.25" customHeight="1">
      <c r="A13" s="47" t="s">
        <v>64</v>
      </c>
      <c r="B13" s="48"/>
      <c r="C13" s="48"/>
      <c r="D13" s="49"/>
      <c r="E13" s="51">
        <f>SUM(E4:E12)</f>
        <v>0</v>
      </c>
      <c r="F13" s="48" t="s">
        <v>74</v>
      </c>
      <c r="G13" s="52"/>
    </row>
    <row r="14" ht="14.25" customHeight="1">
      <c r="A14" s="47" t="s">
        <v>67</v>
      </c>
      <c r="B14" s="48"/>
      <c r="C14" s="48"/>
      <c r="D14" s="49"/>
      <c r="E14" s="51">
        <f>E13*15%</f>
        <v>0</v>
      </c>
      <c r="F14" s="48" t="s">
        <v>76</v>
      </c>
      <c r="G14" s="52"/>
    </row>
    <row r="15" ht="14.25" customHeight="1">
      <c r="A15" s="47" t="s">
        <v>70</v>
      </c>
      <c r="B15" s="48"/>
      <c r="C15" s="48"/>
      <c r="D15" s="49"/>
      <c r="E15" s="51">
        <f>E13+E14</f>
        <v>0</v>
      </c>
      <c r="F15" s="48"/>
      <c r="G15" s="52"/>
    </row>
    <row r="16" ht="14.25" customHeight="1">
      <c r="A16" s="47" t="s">
        <v>71</v>
      </c>
      <c r="B16" s="48"/>
      <c r="C16" s="48"/>
      <c r="D16" s="49"/>
      <c r="E16" s="51">
        <f>IF(E18&gt;0,E18-E15,0)</f>
        <v>0</v>
      </c>
      <c r="F16" s="48"/>
      <c r="G16" s="52"/>
    </row>
    <row r="17" ht="14.25" customHeight="1">
      <c r="A17" s="47" t="s">
        <v>388</v>
      </c>
      <c r="B17" s="48"/>
      <c r="C17" s="48"/>
      <c r="D17" s="49"/>
      <c r="E17" s="56">
        <f>IFERROR(E15/E18,0)</f>
        <v>0</v>
      </c>
      <c r="F17" s="48"/>
      <c r="G17" s="52"/>
    </row>
    <row r="18" ht="14.25" customHeight="1">
      <c r="A18" s="47" t="s">
        <v>11</v>
      </c>
      <c r="B18" s="48"/>
      <c r="C18" s="48"/>
      <c r="D18" s="49"/>
      <c r="E18" s="78"/>
      <c r="F18" s="48"/>
      <c r="G18" s="52"/>
    </row>
    <row r="19" ht="14.25" customHeight="1">
      <c r="D19" s="60"/>
    </row>
    <row r="20" ht="14.25" customHeight="1">
      <c r="A20" s="4" t="s">
        <v>316</v>
      </c>
    </row>
    <row r="21" ht="14.25" customHeight="1">
      <c r="A21" s="6" t="s">
        <v>8</v>
      </c>
      <c r="B21" s="8" t="s">
        <v>10</v>
      </c>
      <c r="C21" s="8" t="s">
        <v>12</v>
      </c>
      <c r="D21" s="10" t="s">
        <v>13</v>
      </c>
      <c r="E21" s="8" t="s">
        <v>16</v>
      </c>
      <c r="F21" s="8" t="s">
        <v>17</v>
      </c>
      <c r="G21" s="13" t="s">
        <v>18</v>
      </c>
    </row>
    <row r="22" ht="14.25" customHeight="1">
      <c r="A22" s="14"/>
      <c r="B22" s="15"/>
      <c r="C22" s="17"/>
      <c r="D22" s="19"/>
      <c r="E22" s="17">
        <f t="shared" ref="E22:E29" si="2">IFERROR(C22*D22,0)</f>
        <v>0</v>
      </c>
      <c r="F22" s="15" t="s">
        <v>26</v>
      </c>
      <c r="G22" s="24"/>
    </row>
    <row r="23" ht="14.25" customHeight="1">
      <c r="A23" s="25"/>
      <c r="B23" s="26"/>
      <c r="C23" s="28"/>
      <c r="D23" s="30"/>
      <c r="E23" s="28">
        <f t="shared" si="2"/>
        <v>0</v>
      </c>
      <c r="F23" s="26"/>
      <c r="G23" s="32"/>
    </row>
    <row r="24" ht="14.25" customHeight="1">
      <c r="A24" s="25"/>
      <c r="B24" s="26"/>
      <c r="C24" s="28"/>
      <c r="D24" s="30"/>
      <c r="E24" s="28">
        <f t="shared" si="2"/>
        <v>0</v>
      </c>
      <c r="F24" s="26"/>
      <c r="G24" s="32"/>
    </row>
    <row r="25" ht="14.25" customHeight="1">
      <c r="A25" s="25"/>
      <c r="B25" s="26"/>
      <c r="C25" s="28"/>
      <c r="D25" s="30"/>
      <c r="E25" s="28">
        <f t="shared" si="2"/>
        <v>0</v>
      </c>
      <c r="F25" s="26"/>
      <c r="G25" s="32"/>
    </row>
    <row r="26" ht="14.25" customHeight="1">
      <c r="A26" s="25"/>
      <c r="B26" s="26"/>
      <c r="C26" s="28"/>
      <c r="D26" s="30"/>
      <c r="E26" s="28">
        <f t="shared" si="2"/>
        <v>0</v>
      </c>
      <c r="F26" s="26"/>
      <c r="G26" s="32"/>
    </row>
    <row r="27" ht="14.25" customHeight="1">
      <c r="A27" s="25"/>
      <c r="B27" s="26"/>
      <c r="C27" s="28"/>
      <c r="D27" s="30"/>
      <c r="E27" s="28">
        <f t="shared" si="2"/>
        <v>0</v>
      </c>
      <c r="F27" s="26"/>
      <c r="G27" s="32"/>
    </row>
    <row r="28" ht="14.25" customHeight="1">
      <c r="A28" s="25"/>
      <c r="B28" s="26"/>
      <c r="C28" s="28"/>
      <c r="D28" s="30"/>
      <c r="E28" s="28">
        <f t="shared" si="2"/>
        <v>0</v>
      </c>
      <c r="F28" s="26"/>
      <c r="G28" s="32"/>
    </row>
    <row r="29" ht="14.25" customHeight="1">
      <c r="A29" s="36"/>
      <c r="B29" s="37"/>
      <c r="C29" s="38"/>
      <c r="D29" s="39"/>
      <c r="E29" s="38">
        <f t="shared" si="2"/>
        <v>0</v>
      </c>
      <c r="F29" s="37"/>
      <c r="G29" s="41"/>
    </row>
    <row r="30" ht="14.25" customHeight="1">
      <c r="A30" s="42" t="s">
        <v>62</v>
      </c>
      <c r="B30" s="43"/>
      <c r="C30" s="43"/>
      <c r="D30" s="45"/>
      <c r="E30" s="43">
        <v>0.0</v>
      </c>
      <c r="F30" s="43"/>
      <c r="G30" s="46"/>
    </row>
    <row r="31" ht="14.25" customHeight="1">
      <c r="A31" s="47" t="s">
        <v>64</v>
      </c>
      <c r="B31" s="48"/>
      <c r="C31" s="48"/>
      <c r="D31" s="49"/>
      <c r="E31" s="51">
        <f>SUM(E22:E30)</f>
        <v>0</v>
      </c>
      <c r="F31" s="48" t="s">
        <v>74</v>
      </c>
      <c r="G31" s="52"/>
    </row>
    <row r="32" ht="14.25" customHeight="1">
      <c r="A32" s="47" t="s">
        <v>67</v>
      </c>
      <c r="B32" s="48"/>
      <c r="C32" s="48"/>
      <c r="D32" s="49"/>
      <c r="E32" s="51">
        <f>E31*15%</f>
        <v>0</v>
      </c>
      <c r="F32" s="48" t="s">
        <v>76</v>
      </c>
      <c r="G32" s="52"/>
    </row>
    <row r="33" ht="14.25" customHeight="1">
      <c r="A33" s="47" t="s">
        <v>70</v>
      </c>
      <c r="B33" s="48"/>
      <c r="C33" s="48"/>
      <c r="D33" s="49"/>
      <c r="E33" s="51">
        <f>E31+E32</f>
        <v>0</v>
      </c>
      <c r="F33" s="48"/>
      <c r="G33" s="52"/>
    </row>
    <row r="34" ht="14.25" customHeight="1">
      <c r="A34" s="47" t="s">
        <v>71</v>
      </c>
      <c r="B34" s="48"/>
      <c r="C34" s="48"/>
      <c r="D34" s="49"/>
      <c r="E34" s="51">
        <f>IF(E36&gt;0,E36-E33,0)</f>
        <v>0</v>
      </c>
      <c r="F34" s="48"/>
      <c r="G34" s="52"/>
    </row>
    <row r="35" ht="14.25" customHeight="1">
      <c r="A35" s="47" t="s">
        <v>388</v>
      </c>
      <c r="B35" s="48"/>
      <c r="C35" s="48"/>
      <c r="D35" s="49"/>
      <c r="E35" s="56">
        <f>IFERROR(E33/E36,0)</f>
        <v>0</v>
      </c>
      <c r="F35" s="48"/>
      <c r="G35" s="52"/>
    </row>
    <row r="36" ht="14.25" customHeight="1">
      <c r="A36" s="47" t="s">
        <v>11</v>
      </c>
      <c r="B36" s="48"/>
      <c r="C36" s="48"/>
      <c r="D36" s="49"/>
      <c r="E36" s="78"/>
      <c r="F36" s="48"/>
      <c r="G36" s="52"/>
    </row>
    <row r="37" ht="14.25" customHeight="1">
      <c r="D37" s="60"/>
    </row>
    <row r="38" ht="14.25" customHeight="1">
      <c r="A38" s="4" t="s">
        <v>318</v>
      </c>
    </row>
    <row r="39" ht="14.25" customHeight="1">
      <c r="A39" s="6" t="s">
        <v>8</v>
      </c>
      <c r="B39" s="8" t="s">
        <v>10</v>
      </c>
      <c r="C39" s="8" t="s">
        <v>12</v>
      </c>
      <c r="D39" s="10" t="s">
        <v>13</v>
      </c>
      <c r="E39" s="8" t="s">
        <v>16</v>
      </c>
      <c r="F39" s="8" t="s">
        <v>17</v>
      </c>
      <c r="G39" s="13" t="s">
        <v>18</v>
      </c>
    </row>
    <row r="40" ht="14.25" customHeight="1">
      <c r="A40" s="14"/>
      <c r="B40" s="15"/>
      <c r="C40" s="17"/>
      <c r="D40" s="19"/>
      <c r="E40" s="17">
        <f t="shared" ref="E40:E47" si="3">IFERROR(C40*D40,0)</f>
        <v>0</v>
      </c>
      <c r="F40" s="15" t="s">
        <v>26</v>
      </c>
      <c r="G40" s="24"/>
    </row>
    <row r="41" ht="14.25" customHeight="1">
      <c r="A41" s="25"/>
      <c r="B41" s="26"/>
      <c r="C41" s="28"/>
      <c r="D41" s="30"/>
      <c r="E41" s="28">
        <f t="shared" si="3"/>
        <v>0</v>
      </c>
      <c r="F41" s="26"/>
      <c r="G41" s="32"/>
    </row>
    <row r="42" ht="14.25" customHeight="1">
      <c r="A42" s="25"/>
      <c r="B42" s="26"/>
      <c r="C42" s="28"/>
      <c r="D42" s="30"/>
      <c r="E42" s="28">
        <f t="shared" si="3"/>
        <v>0</v>
      </c>
      <c r="F42" s="26"/>
      <c r="G42" s="32"/>
    </row>
    <row r="43" ht="14.25" customHeight="1">
      <c r="A43" s="25"/>
      <c r="B43" s="26"/>
      <c r="C43" s="28"/>
      <c r="D43" s="30"/>
      <c r="E43" s="28">
        <f t="shared" si="3"/>
        <v>0</v>
      </c>
      <c r="F43" s="26"/>
      <c r="G43" s="32"/>
    </row>
    <row r="44" ht="14.25" customHeight="1">
      <c r="A44" s="25"/>
      <c r="B44" s="26"/>
      <c r="C44" s="28"/>
      <c r="D44" s="30"/>
      <c r="E44" s="28">
        <f t="shared" si="3"/>
        <v>0</v>
      </c>
      <c r="F44" s="26"/>
      <c r="G44" s="32"/>
    </row>
    <row r="45" ht="14.25" customHeight="1">
      <c r="A45" s="25"/>
      <c r="B45" s="26"/>
      <c r="C45" s="28"/>
      <c r="D45" s="30"/>
      <c r="E45" s="28">
        <f t="shared" si="3"/>
        <v>0</v>
      </c>
      <c r="F45" s="26"/>
      <c r="G45" s="32"/>
    </row>
    <row r="46" ht="14.25" customHeight="1">
      <c r="A46" s="25"/>
      <c r="B46" s="26"/>
      <c r="C46" s="28"/>
      <c r="D46" s="30"/>
      <c r="E46" s="28">
        <f t="shared" si="3"/>
        <v>0</v>
      </c>
      <c r="F46" s="26"/>
      <c r="G46" s="32"/>
    </row>
    <row r="47" ht="14.25" customHeight="1">
      <c r="A47" s="36"/>
      <c r="B47" s="37"/>
      <c r="C47" s="38"/>
      <c r="D47" s="39"/>
      <c r="E47" s="38">
        <f t="shared" si="3"/>
        <v>0</v>
      </c>
      <c r="F47" s="37"/>
      <c r="G47" s="41"/>
    </row>
    <row r="48" ht="14.25" customHeight="1">
      <c r="A48" s="42" t="s">
        <v>62</v>
      </c>
      <c r="B48" s="43"/>
      <c r="C48" s="43"/>
      <c r="D48" s="45"/>
      <c r="E48" s="43">
        <v>0.0</v>
      </c>
      <c r="F48" s="43"/>
      <c r="G48" s="46"/>
    </row>
    <row r="49" ht="14.25" customHeight="1">
      <c r="A49" s="47" t="s">
        <v>64</v>
      </c>
      <c r="B49" s="48"/>
      <c r="C49" s="48"/>
      <c r="D49" s="49"/>
      <c r="E49" s="51">
        <f>SUM(E40:E48)</f>
        <v>0</v>
      </c>
      <c r="F49" s="48" t="s">
        <v>74</v>
      </c>
      <c r="G49" s="52"/>
    </row>
    <row r="50" ht="14.25" customHeight="1">
      <c r="A50" s="47" t="s">
        <v>67</v>
      </c>
      <c r="B50" s="48"/>
      <c r="C50" s="48"/>
      <c r="D50" s="49"/>
      <c r="E50" s="51">
        <f>E49*15%</f>
        <v>0</v>
      </c>
      <c r="F50" s="48" t="s">
        <v>76</v>
      </c>
      <c r="G50" s="52"/>
    </row>
    <row r="51" ht="14.25" customHeight="1">
      <c r="A51" s="47" t="s">
        <v>70</v>
      </c>
      <c r="B51" s="48"/>
      <c r="C51" s="48"/>
      <c r="D51" s="49"/>
      <c r="E51" s="51">
        <f>E49+E50</f>
        <v>0</v>
      </c>
      <c r="F51" s="48"/>
      <c r="G51" s="52"/>
    </row>
    <row r="52" ht="14.25" customHeight="1">
      <c r="A52" s="47" t="s">
        <v>71</v>
      </c>
      <c r="B52" s="48"/>
      <c r="C52" s="48"/>
      <c r="D52" s="49"/>
      <c r="E52" s="51">
        <f>IF(E54&gt;0,E54-E51,0)</f>
        <v>0</v>
      </c>
      <c r="F52" s="48"/>
      <c r="G52" s="52"/>
    </row>
    <row r="53" ht="14.25" customHeight="1">
      <c r="A53" s="47" t="s">
        <v>388</v>
      </c>
      <c r="B53" s="48"/>
      <c r="C53" s="48"/>
      <c r="D53" s="49"/>
      <c r="E53" s="56">
        <f>IFERROR(E51/E54,0)</f>
        <v>0</v>
      </c>
      <c r="F53" s="48"/>
      <c r="G53" s="52"/>
    </row>
    <row r="54" ht="14.25" customHeight="1">
      <c r="A54" s="47" t="s">
        <v>11</v>
      </c>
      <c r="B54" s="48"/>
      <c r="C54" s="48"/>
      <c r="D54" s="49"/>
      <c r="E54" s="78"/>
      <c r="F54" s="48"/>
      <c r="G54" s="52"/>
    </row>
    <row r="55" ht="14.25" customHeight="1">
      <c r="D55" s="60"/>
    </row>
    <row r="56" ht="14.25" customHeight="1">
      <c r="A56" s="4" t="s">
        <v>321</v>
      </c>
    </row>
    <row r="57" ht="14.25" customHeight="1">
      <c r="A57" s="6" t="s">
        <v>8</v>
      </c>
      <c r="B57" s="8" t="s">
        <v>10</v>
      </c>
      <c r="C57" s="8" t="s">
        <v>12</v>
      </c>
      <c r="D57" s="10" t="s">
        <v>13</v>
      </c>
      <c r="E57" s="8" t="s">
        <v>16</v>
      </c>
      <c r="F57" s="8" t="s">
        <v>17</v>
      </c>
      <c r="G57" s="13" t="s">
        <v>18</v>
      </c>
    </row>
    <row r="58" ht="14.25" customHeight="1">
      <c r="A58" s="14"/>
      <c r="B58" s="15"/>
      <c r="C58" s="17"/>
      <c r="D58" s="19"/>
      <c r="E58" s="17">
        <f t="shared" ref="E58:E65" si="4">IFERROR(C58*D58,0)</f>
        <v>0</v>
      </c>
      <c r="F58" s="15" t="s">
        <v>26</v>
      </c>
      <c r="G58" s="24"/>
    </row>
    <row r="59" ht="14.25" customHeight="1">
      <c r="A59" s="25"/>
      <c r="B59" s="26"/>
      <c r="C59" s="28"/>
      <c r="D59" s="30"/>
      <c r="E59" s="28">
        <f t="shared" si="4"/>
        <v>0</v>
      </c>
      <c r="F59" s="26"/>
      <c r="G59" s="32"/>
    </row>
    <row r="60" ht="14.25" customHeight="1">
      <c r="A60" s="25"/>
      <c r="B60" s="26"/>
      <c r="C60" s="28"/>
      <c r="D60" s="30"/>
      <c r="E60" s="28">
        <f t="shared" si="4"/>
        <v>0</v>
      </c>
      <c r="F60" s="26"/>
      <c r="G60" s="32"/>
    </row>
    <row r="61" ht="14.25" customHeight="1">
      <c r="A61" s="25"/>
      <c r="B61" s="26"/>
      <c r="C61" s="28"/>
      <c r="D61" s="30"/>
      <c r="E61" s="28">
        <f t="shared" si="4"/>
        <v>0</v>
      </c>
      <c r="F61" s="26"/>
      <c r="G61" s="32"/>
    </row>
    <row r="62" ht="14.25" customHeight="1">
      <c r="A62" s="25"/>
      <c r="B62" s="26"/>
      <c r="C62" s="28"/>
      <c r="D62" s="30"/>
      <c r="E62" s="28">
        <f t="shared" si="4"/>
        <v>0</v>
      </c>
      <c r="F62" s="26"/>
      <c r="G62" s="32"/>
    </row>
    <row r="63" ht="14.25" customHeight="1">
      <c r="A63" s="25"/>
      <c r="B63" s="26"/>
      <c r="C63" s="28"/>
      <c r="D63" s="30"/>
      <c r="E63" s="28">
        <f t="shared" si="4"/>
        <v>0</v>
      </c>
      <c r="F63" s="26"/>
      <c r="G63" s="32"/>
    </row>
    <row r="64" ht="14.25" customHeight="1">
      <c r="A64" s="25"/>
      <c r="B64" s="26"/>
      <c r="C64" s="28"/>
      <c r="D64" s="30"/>
      <c r="E64" s="28">
        <f t="shared" si="4"/>
        <v>0</v>
      </c>
      <c r="F64" s="26"/>
      <c r="G64" s="32"/>
    </row>
    <row r="65" ht="14.25" customHeight="1">
      <c r="A65" s="36"/>
      <c r="B65" s="37"/>
      <c r="C65" s="38"/>
      <c r="D65" s="39"/>
      <c r="E65" s="38">
        <f t="shared" si="4"/>
        <v>0</v>
      </c>
      <c r="F65" s="37"/>
      <c r="G65" s="41"/>
    </row>
    <row r="66" ht="14.25" customHeight="1">
      <c r="A66" s="42" t="s">
        <v>62</v>
      </c>
      <c r="B66" s="43"/>
      <c r="C66" s="43"/>
      <c r="D66" s="45"/>
      <c r="E66" s="43">
        <v>0.0</v>
      </c>
      <c r="F66" s="43"/>
      <c r="G66" s="46"/>
    </row>
    <row r="67" ht="14.25" customHeight="1">
      <c r="A67" s="47" t="s">
        <v>64</v>
      </c>
      <c r="B67" s="48"/>
      <c r="C67" s="48"/>
      <c r="D67" s="49"/>
      <c r="E67" s="51">
        <f>SUM(E58:E66)</f>
        <v>0</v>
      </c>
      <c r="F67" s="48" t="s">
        <v>74</v>
      </c>
      <c r="G67" s="52"/>
    </row>
    <row r="68" ht="14.25" customHeight="1">
      <c r="A68" s="47" t="s">
        <v>67</v>
      </c>
      <c r="B68" s="48"/>
      <c r="C68" s="48"/>
      <c r="D68" s="49"/>
      <c r="E68" s="51">
        <f>E67*15%</f>
        <v>0</v>
      </c>
      <c r="F68" s="48" t="s">
        <v>76</v>
      </c>
      <c r="G68" s="52"/>
    </row>
    <row r="69" ht="14.25" customHeight="1">
      <c r="A69" s="47" t="s">
        <v>70</v>
      </c>
      <c r="B69" s="48"/>
      <c r="C69" s="48"/>
      <c r="D69" s="49"/>
      <c r="E69" s="51">
        <f>E67+E68</f>
        <v>0</v>
      </c>
      <c r="F69" s="48"/>
      <c r="G69" s="52"/>
    </row>
    <row r="70" ht="14.25" customHeight="1">
      <c r="A70" s="47" t="s">
        <v>71</v>
      </c>
      <c r="B70" s="48"/>
      <c r="C70" s="48"/>
      <c r="D70" s="49"/>
      <c r="E70" s="51">
        <f>IF(E72&gt;0,E72-E69,0)</f>
        <v>0</v>
      </c>
      <c r="F70" s="48"/>
      <c r="G70" s="52"/>
    </row>
    <row r="71" ht="14.25" customHeight="1">
      <c r="A71" s="47" t="s">
        <v>388</v>
      </c>
      <c r="B71" s="48"/>
      <c r="C71" s="48"/>
      <c r="D71" s="49"/>
      <c r="E71" s="56">
        <f>IFERROR(E69/E72,0)</f>
        <v>0</v>
      </c>
      <c r="F71" s="48"/>
      <c r="G71" s="52"/>
    </row>
    <row r="72" ht="14.25" customHeight="1">
      <c r="A72" s="47" t="s">
        <v>11</v>
      </c>
      <c r="B72" s="48"/>
      <c r="C72" s="48"/>
      <c r="D72" s="49"/>
      <c r="E72" s="78"/>
      <c r="F72" s="48"/>
      <c r="G72" s="52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20:G20"/>
    <mergeCell ref="A38:G38"/>
    <mergeCell ref="A56:G5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8.0"/>
    <col customWidth="1" min="3" max="3" width="12.0"/>
    <col customWidth="1" min="4" max="4" width="19.0"/>
    <col customWidth="1" min="5" max="6" width="18.0"/>
  </cols>
  <sheetData>
    <row r="1" ht="14.25" customHeight="1">
      <c r="A1" s="1" t="s">
        <v>418</v>
      </c>
      <c r="B1" s="2"/>
      <c r="C1" s="2"/>
      <c r="D1" s="2"/>
      <c r="E1" s="2"/>
      <c r="F1" s="3"/>
    </row>
    <row r="2" ht="14.25" customHeight="1">
      <c r="A2" s="5" t="s">
        <v>419</v>
      </c>
      <c r="B2" s="7" t="s">
        <v>420</v>
      </c>
      <c r="C2" s="7" t="s">
        <v>10</v>
      </c>
      <c r="D2" s="7" t="s">
        <v>421</v>
      </c>
      <c r="E2" s="7" t="s">
        <v>422</v>
      </c>
      <c r="F2" s="9" t="s">
        <v>423</v>
      </c>
    </row>
    <row r="3" ht="14.25" customHeight="1">
      <c r="A3" s="131" t="s">
        <v>424</v>
      </c>
      <c r="B3" s="132" t="s">
        <v>232</v>
      </c>
      <c r="C3" s="132" t="s">
        <v>24</v>
      </c>
      <c r="D3" s="133">
        <v>1000.0</v>
      </c>
      <c r="E3" s="134">
        <v>17500.0</v>
      </c>
      <c r="F3" s="135">
        <f t="shared" ref="F3:F190" si="1">IFERROR(E3/D3,0)</f>
        <v>17.5</v>
      </c>
    </row>
    <row r="4" ht="14.25" customHeight="1">
      <c r="A4" s="136" t="s">
        <v>424</v>
      </c>
      <c r="B4" s="137" t="s">
        <v>425</v>
      </c>
      <c r="C4" s="137" t="s">
        <v>24</v>
      </c>
      <c r="D4" s="138">
        <v>500.0</v>
      </c>
      <c r="E4" s="139">
        <v>8000.0</v>
      </c>
      <c r="F4" s="140">
        <f t="shared" si="1"/>
        <v>16</v>
      </c>
    </row>
    <row r="5" ht="14.25" customHeight="1">
      <c r="A5" s="136" t="s">
        <v>424</v>
      </c>
      <c r="B5" s="137" t="s">
        <v>426</v>
      </c>
      <c r="C5" s="137" t="s">
        <v>24</v>
      </c>
      <c r="D5" s="138">
        <v>1000.0</v>
      </c>
      <c r="E5" s="139">
        <v>140000.0</v>
      </c>
      <c r="F5" s="140">
        <f t="shared" si="1"/>
        <v>140</v>
      </c>
    </row>
    <row r="6" ht="14.25" customHeight="1">
      <c r="A6" s="136" t="s">
        <v>424</v>
      </c>
      <c r="B6" s="137" t="s">
        <v>427</v>
      </c>
      <c r="C6" s="137" t="s">
        <v>59</v>
      </c>
      <c r="D6" s="138">
        <v>600.0</v>
      </c>
      <c r="E6" s="139">
        <v>29300.0</v>
      </c>
      <c r="F6" s="140">
        <f t="shared" si="1"/>
        <v>48.83333333</v>
      </c>
    </row>
    <row r="7" ht="14.25" customHeight="1">
      <c r="A7" s="136" t="s">
        <v>424</v>
      </c>
      <c r="B7" s="137" t="s">
        <v>428</v>
      </c>
      <c r="C7" s="137" t="s">
        <v>24</v>
      </c>
      <c r="D7" s="138">
        <v>1000.0</v>
      </c>
      <c r="E7" s="139">
        <v>18000.0</v>
      </c>
      <c r="F7" s="140">
        <f t="shared" si="1"/>
        <v>18</v>
      </c>
    </row>
    <row r="8" ht="14.25" customHeight="1">
      <c r="A8" s="136" t="s">
        <v>424</v>
      </c>
      <c r="B8" s="137" t="s">
        <v>429</v>
      </c>
      <c r="C8" s="137" t="s">
        <v>59</v>
      </c>
      <c r="D8" s="138">
        <v>620.0</v>
      </c>
      <c r="E8" s="139">
        <v>39000.0</v>
      </c>
      <c r="F8" s="140">
        <f t="shared" si="1"/>
        <v>62.90322581</v>
      </c>
    </row>
    <row r="9" ht="14.25" customHeight="1">
      <c r="A9" s="136" t="s">
        <v>424</v>
      </c>
      <c r="B9" s="137" t="s">
        <v>430</v>
      </c>
      <c r="C9" s="137" t="s">
        <v>59</v>
      </c>
      <c r="D9" s="138">
        <v>18000.0</v>
      </c>
      <c r="E9" s="139">
        <v>56700.0</v>
      </c>
      <c r="F9" s="140">
        <f t="shared" si="1"/>
        <v>3.15</v>
      </c>
    </row>
    <row r="10" ht="14.25" customHeight="1">
      <c r="A10" s="136" t="s">
        <v>424</v>
      </c>
      <c r="B10" s="137" t="s">
        <v>431</v>
      </c>
      <c r="C10" s="137" t="s">
        <v>24</v>
      </c>
      <c r="D10" s="138">
        <v>1000.0</v>
      </c>
      <c r="E10" s="139">
        <v>25000.0</v>
      </c>
      <c r="F10" s="140">
        <f t="shared" si="1"/>
        <v>25</v>
      </c>
    </row>
    <row r="11" ht="14.25" customHeight="1">
      <c r="A11" s="136" t="s">
        <v>424</v>
      </c>
      <c r="B11" s="137" t="s">
        <v>432</v>
      </c>
      <c r="C11" s="137" t="s">
        <v>24</v>
      </c>
      <c r="D11" s="138">
        <v>1000.0</v>
      </c>
      <c r="E11" s="139">
        <v>72300.0</v>
      </c>
      <c r="F11" s="140">
        <f t="shared" si="1"/>
        <v>72.3</v>
      </c>
    </row>
    <row r="12" ht="14.25" customHeight="1">
      <c r="A12" s="136" t="s">
        <v>424</v>
      </c>
      <c r="B12" s="137" t="s">
        <v>103</v>
      </c>
      <c r="C12" s="137" t="s">
        <v>24</v>
      </c>
      <c r="D12" s="138">
        <v>1000.0</v>
      </c>
      <c r="E12" s="139">
        <v>35000.0</v>
      </c>
      <c r="F12" s="140">
        <f t="shared" si="1"/>
        <v>35</v>
      </c>
    </row>
    <row r="13" ht="14.25" customHeight="1">
      <c r="A13" s="136" t="s">
        <v>424</v>
      </c>
      <c r="B13" s="137" t="s">
        <v>367</v>
      </c>
      <c r="C13" s="137" t="s">
        <v>24</v>
      </c>
      <c r="D13" s="138">
        <v>1000.0</v>
      </c>
      <c r="E13" s="139">
        <v>200000.0</v>
      </c>
      <c r="F13" s="140">
        <f t="shared" si="1"/>
        <v>200</v>
      </c>
    </row>
    <row r="14" ht="14.25" customHeight="1">
      <c r="A14" s="136" t="s">
        <v>424</v>
      </c>
      <c r="B14" s="137" t="s">
        <v>433</v>
      </c>
      <c r="C14" s="137" t="s">
        <v>24</v>
      </c>
      <c r="D14" s="138">
        <v>1000.0</v>
      </c>
      <c r="E14" s="139">
        <v>155500.0</v>
      </c>
      <c r="F14" s="140">
        <f t="shared" si="1"/>
        <v>155.5</v>
      </c>
    </row>
    <row r="15" ht="14.25" customHeight="1">
      <c r="A15" s="136" t="s">
        <v>424</v>
      </c>
      <c r="B15" s="137" t="s">
        <v>434</v>
      </c>
      <c r="C15" s="137" t="s">
        <v>24</v>
      </c>
      <c r="D15" s="138">
        <v>900.0</v>
      </c>
      <c r="E15" s="139">
        <v>124900.0</v>
      </c>
      <c r="F15" s="140">
        <f t="shared" si="1"/>
        <v>138.7777778</v>
      </c>
    </row>
    <row r="16" ht="14.25" customHeight="1">
      <c r="A16" s="136" t="s">
        <v>424</v>
      </c>
      <c r="B16" s="137" t="s">
        <v>435</v>
      </c>
      <c r="C16" s="137" t="s">
        <v>24</v>
      </c>
      <c r="D16" s="138">
        <v>1000.0</v>
      </c>
      <c r="E16" s="139">
        <v>33000.0</v>
      </c>
      <c r="F16" s="140">
        <f t="shared" si="1"/>
        <v>33</v>
      </c>
    </row>
    <row r="17" ht="14.25" customHeight="1">
      <c r="A17" s="136" t="s">
        <v>424</v>
      </c>
      <c r="B17" s="137" t="s">
        <v>436</v>
      </c>
      <c r="C17" s="137" t="s">
        <v>24</v>
      </c>
      <c r="D17" s="138">
        <v>1000.0</v>
      </c>
      <c r="E17" s="139">
        <v>18000.0</v>
      </c>
      <c r="F17" s="140">
        <f t="shared" si="1"/>
        <v>18</v>
      </c>
    </row>
    <row r="18" ht="14.25" customHeight="1">
      <c r="A18" s="136" t="s">
        <v>424</v>
      </c>
      <c r="B18" s="137" t="s">
        <v>437</v>
      </c>
      <c r="C18" s="137" t="s">
        <v>24</v>
      </c>
      <c r="D18" s="138">
        <v>1000.0</v>
      </c>
      <c r="E18" s="139">
        <v>45000.0</v>
      </c>
      <c r="F18" s="140">
        <f t="shared" si="1"/>
        <v>45</v>
      </c>
    </row>
    <row r="19" ht="14.25" customHeight="1">
      <c r="A19" s="136" t="s">
        <v>424</v>
      </c>
      <c r="B19" s="137" t="s">
        <v>438</v>
      </c>
      <c r="C19" s="137" t="s">
        <v>24</v>
      </c>
      <c r="D19" s="138">
        <v>1000.0</v>
      </c>
      <c r="E19" s="139">
        <v>140000.0</v>
      </c>
      <c r="F19" s="140">
        <f t="shared" si="1"/>
        <v>140</v>
      </c>
    </row>
    <row r="20" ht="14.25" customHeight="1">
      <c r="A20" s="136" t="s">
        <v>424</v>
      </c>
      <c r="B20" s="137" t="s">
        <v>439</v>
      </c>
      <c r="C20" s="137" t="s">
        <v>24</v>
      </c>
      <c r="D20" s="138">
        <v>300.0</v>
      </c>
      <c r="E20" s="139">
        <v>105500.0</v>
      </c>
      <c r="F20" s="140">
        <f t="shared" si="1"/>
        <v>351.6666667</v>
      </c>
    </row>
    <row r="21" ht="14.25" customHeight="1">
      <c r="A21" s="136" t="s">
        <v>424</v>
      </c>
      <c r="B21" s="137" t="s">
        <v>440</v>
      </c>
      <c r="C21" s="137" t="s">
        <v>24</v>
      </c>
      <c r="D21" s="138">
        <v>1000.0</v>
      </c>
      <c r="E21" s="139">
        <v>37000.0</v>
      </c>
      <c r="F21" s="140">
        <f t="shared" si="1"/>
        <v>37</v>
      </c>
    </row>
    <row r="22" ht="14.25" customHeight="1">
      <c r="A22" s="136" t="s">
        <v>424</v>
      </c>
      <c r="B22" s="137" t="s">
        <v>398</v>
      </c>
      <c r="C22" s="137" t="s">
        <v>24</v>
      </c>
      <c r="D22" s="138">
        <v>220.0</v>
      </c>
      <c r="E22" s="139">
        <v>9500.0</v>
      </c>
      <c r="F22" s="140">
        <f t="shared" si="1"/>
        <v>43.18181818</v>
      </c>
    </row>
    <row r="23" ht="14.25" customHeight="1">
      <c r="A23" s="136" t="s">
        <v>424</v>
      </c>
      <c r="B23" s="137" t="s">
        <v>441</v>
      </c>
      <c r="C23" s="137" t="s">
        <v>24</v>
      </c>
      <c r="D23" s="138">
        <v>1000.0</v>
      </c>
      <c r="E23" s="139">
        <v>51019.0</v>
      </c>
      <c r="F23" s="140">
        <f t="shared" si="1"/>
        <v>51.019</v>
      </c>
    </row>
    <row r="24" ht="14.25" customHeight="1">
      <c r="A24" s="136" t="s">
        <v>424</v>
      </c>
      <c r="B24" s="137" t="s">
        <v>442</v>
      </c>
      <c r="C24" s="137" t="s">
        <v>24</v>
      </c>
      <c r="D24" s="138">
        <v>1000.0</v>
      </c>
      <c r="E24" s="139">
        <v>25000.0</v>
      </c>
      <c r="F24" s="140">
        <f t="shared" si="1"/>
        <v>25</v>
      </c>
    </row>
    <row r="25" ht="14.25" customHeight="1">
      <c r="A25" s="136" t="s">
        <v>424</v>
      </c>
      <c r="B25" s="137" t="s">
        <v>443</v>
      </c>
      <c r="C25" s="137" t="s">
        <v>59</v>
      </c>
      <c r="D25" s="138">
        <v>1600.0</v>
      </c>
      <c r="E25" s="139">
        <v>120000.0</v>
      </c>
      <c r="F25" s="140">
        <f t="shared" si="1"/>
        <v>75</v>
      </c>
    </row>
    <row r="26" ht="14.25" customHeight="1">
      <c r="A26" s="136" t="s">
        <v>424</v>
      </c>
      <c r="B26" s="137" t="s">
        <v>412</v>
      </c>
      <c r="C26" s="137" t="s">
        <v>24</v>
      </c>
      <c r="D26" s="138">
        <v>500.0</v>
      </c>
      <c r="E26" s="139">
        <v>68000.0</v>
      </c>
      <c r="F26" s="140">
        <f t="shared" si="1"/>
        <v>136</v>
      </c>
    </row>
    <row r="27" ht="14.25" customHeight="1">
      <c r="A27" s="136" t="s">
        <v>424</v>
      </c>
      <c r="B27" s="137" t="s">
        <v>444</v>
      </c>
      <c r="C27" s="137" t="s">
        <v>24</v>
      </c>
      <c r="D27" s="138">
        <v>250.0</v>
      </c>
      <c r="E27" s="139">
        <v>28600.0</v>
      </c>
      <c r="F27" s="140">
        <f t="shared" si="1"/>
        <v>114.4</v>
      </c>
    </row>
    <row r="28" ht="14.25" customHeight="1">
      <c r="A28" s="136" t="s">
        <v>424</v>
      </c>
      <c r="B28" s="137" t="s">
        <v>445</v>
      </c>
      <c r="C28" s="137" t="s">
        <v>24</v>
      </c>
      <c r="D28" s="138">
        <v>1000.0</v>
      </c>
      <c r="E28" s="139">
        <v>40000.0</v>
      </c>
      <c r="F28" s="140">
        <f t="shared" si="1"/>
        <v>40</v>
      </c>
    </row>
    <row r="29" ht="14.25" customHeight="1">
      <c r="A29" s="136" t="s">
        <v>424</v>
      </c>
      <c r="B29" s="137" t="s">
        <v>446</v>
      </c>
      <c r="C29" s="137" t="s">
        <v>59</v>
      </c>
      <c r="D29" s="138">
        <v>1600.0</v>
      </c>
      <c r="E29" s="139">
        <v>120000.0</v>
      </c>
      <c r="F29" s="140">
        <f t="shared" si="1"/>
        <v>75</v>
      </c>
    </row>
    <row r="30" ht="14.25" customHeight="1">
      <c r="A30" s="136" t="s">
        <v>424</v>
      </c>
      <c r="B30" s="137" t="s">
        <v>447</v>
      </c>
      <c r="C30" s="137" t="s">
        <v>24</v>
      </c>
      <c r="D30" s="138">
        <v>1000.0</v>
      </c>
      <c r="E30" s="139">
        <v>18000.0</v>
      </c>
      <c r="F30" s="140">
        <f t="shared" si="1"/>
        <v>18</v>
      </c>
    </row>
    <row r="31" ht="14.25" customHeight="1">
      <c r="A31" s="136" t="s">
        <v>424</v>
      </c>
      <c r="B31" s="137" t="s">
        <v>448</v>
      </c>
      <c r="C31" s="137" t="s">
        <v>59</v>
      </c>
      <c r="D31" s="138">
        <v>1600.0</v>
      </c>
      <c r="E31" s="139">
        <v>120000.0</v>
      </c>
      <c r="F31" s="140">
        <f t="shared" si="1"/>
        <v>75</v>
      </c>
    </row>
    <row r="32" ht="14.25" customHeight="1">
      <c r="A32" s="136" t="s">
        <v>424</v>
      </c>
      <c r="B32" s="137" t="s">
        <v>449</v>
      </c>
      <c r="C32" s="137" t="s">
        <v>24</v>
      </c>
      <c r="D32" s="138">
        <v>1000.0</v>
      </c>
      <c r="E32" s="139">
        <v>58500.0</v>
      </c>
      <c r="F32" s="140">
        <f t="shared" si="1"/>
        <v>58.5</v>
      </c>
    </row>
    <row r="33" ht="14.25" customHeight="1">
      <c r="A33" s="136" t="s">
        <v>424</v>
      </c>
      <c r="B33" s="137" t="s">
        <v>450</v>
      </c>
      <c r="C33" s="137" t="s">
        <v>24</v>
      </c>
      <c r="D33" s="138">
        <v>1000.0</v>
      </c>
      <c r="E33" s="139">
        <v>17900.0</v>
      </c>
      <c r="F33" s="140">
        <f t="shared" si="1"/>
        <v>17.9</v>
      </c>
    </row>
    <row r="34" ht="14.25" customHeight="1">
      <c r="A34" s="136" t="s">
        <v>424</v>
      </c>
      <c r="B34" s="137" t="s">
        <v>451</v>
      </c>
      <c r="C34" s="137" t="s">
        <v>24</v>
      </c>
      <c r="D34" s="138">
        <v>1000.0</v>
      </c>
      <c r="E34" s="139">
        <v>35000.0</v>
      </c>
      <c r="F34" s="140">
        <f t="shared" si="1"/>
        <v>35</v>
      </c>
    </row>
    <row r="35" ht="14.25" customHeight="1">
      <c r="A35" s="136" t="s">
        <v>424</v>
      </c>
      <c r="B35" s="137" t="s">
        <v>36</v>
      </c>
      <c r="C35" s="137" t="s">
        <v>24</v>
      </c>
      <c r="D35" s="138">
        <v>1000.0</v>
      </c>
      <c r="E35" s="139">
        <v>20000.0</v>
      </c>
      <c r="F35" s="140">
        <f t="shared" si="1"/>
        <v>20</v>
      </c>
    </row>
    <row r="36" ht="14.25" customHeight="1">
      <c r="A36" s="136" t="s">
        <v>424</v>
      </c>
      <c r="B36" s="137" t="s">
        <v>96</v>
      </c>
      <c r="C36" s="137" t="s">
        <v>24</v>
      </c>
      <c r="D36" s="138">
        <v>1000.0</v>
      </c>
      <c r="E36" s="139">
        <v>20000.0</v>
      </c>
      <c r="F36" s="140">
        <f t="shared" si="1"/>
        <v>20</v>
      </c>
    </row>
    <row r="37" ht="14.25" customHeight="1">
      <c r="A37" s="136" t="s">
        <v>424</v>
      </c>
      <c r="B37" s="137" t="s">
        <v>452</v>
      </c>
      <c r="C37" s="137" t="s">
        <v>453</v>
      </c>
      <c r="D37" s="138">
        <v>60.0</v>
      </c>
      <c r="E37" s="139">
        <v>164500.0</v>
      </c>
      <c r="F37" s="140">
        <f t="shared" si="1"/>
        <v>2741.666667</v>
      </c>
    </row>
    <row r="38" ht="14.25" customHeight="1">
      <c r="A38" s="136" t="s">
        <v>424</v>
      </c>
      <c r="B38" s="137" t="s">
        <v>454</v>
      </c>
      <c r="C38" s="137" t="s">
        <v>24</v>
      </c>
      <c r="D38" s="138">
        <v>1600.0</v>
      </c>
      <c r="E38" s="139">
        <v>120000.0</v>
      </c>
      <c r="F38" s="140">
        <f t="shared" si="1"/>
        <v>75</v>
      </c>
    </row>
    <row r="39" ht="14.25" customHeight="1">
      <c r="A39" s="136" t="s">
        <v>424</v>
      </c>
      <c r="B39" s="137" t="s">
        <v>455</v>
      </c>
      <c r="C39" s="137" t="s">
        <v>24</v>
      </c>
      <c r="D39" s="138">
        <v>1000.0</v>
      </c>
      <c r="E39" s="139">
        <v>51019.0</v>
      </c>
      <c r="F39" s="140">
        <f t="shared" si="1"/>
        <v>51.019</v>
      </c>
    </row>
    <row r="40" ht="14.25" customHeight="1">
      <c r="A40" s="136" t="s">
        <v>424</v>
      </c>
      <c r="B40" s="137" t="s">
        <v>50</v>
      </c>
      <c r="C40" s="137" t="s">
        <v>24</v>
      </c>
      <c r="D40" s="138">
        <v>500.0</v>
      </c>
      <c r="E40" s="139">
        <v>239199.45</v>
      </c>
      <c r="F40" s="140">
        <f t="shared" si="1"/>
        <v>478.3989</v>
      </c>
    </row>
    <row r="41" ht="14.25" customHeight="1">
      <c r="A41" s="136" t="s">
        <v>424</v>
      </c>
      <c r="B41" s="137" t="s">
        <v>456</v>
      </c>
      <c r="C41" s="137" t="s">
        <v>24</v>
      </c>
      <c r="D41" s="138">
        <v>300.0</v>
      </c>
      <c r="E41" s="139">
        <v>102200.0</v>
      </c>
      <c r="F41" s="140">
        <f t="shared" si="1"/>
        <v>340.6666667</v>
      </c>
    </row>
    <row r="42" ht="14.25" customHeight="1">
      <c r="A42" s="136" t="s">
        <v>424</v>
      </c>
      <c r="B42" s="137" t="s">
        <v>457</v>
      </c>
      <c r="C42" s="137" t="s">
        <v>24</v>
      </c>
      <c r="D42" s="138">
        <v>1000.0</v>
      </c>
      <c r="E42" s="139">
        <v>45000.0</v>
      </c>
      <c r="F42" s="140">
        <f t="shared" si="1"/>
        <v>45</v>
      </c>
    </row>
    <row r="43" ht="14.25" customHeight="1">
      <c r="A43" s="136" t="s">
        <v>424</v>
      </c>
      <c r="B43" s="137" t="s">
        <v>458</v>
      </c>
      <c r="C43" s="137" t="s">
        <v>24</v>
      </c>
      <c r="D43" s="138">
        <v>1000.0</v>
      </c>
      <c r="E43" s="139">
        <v>13000.0</v>
      </c>
      <c r="F43" s="140">
        <f t="shared" si="1"/>
        <v>13</v>
      </c>
    </row>
    <row r="44" ht="14.25" customHeight="1">
      <c r="A44" s="136" t="s">
        <v>424</v>
      </c>
      <c r="B44" s="137" t="s">
        <v>459</v>
      </c>
      <c r="C44" s="137" t="s">
        <v>24</v>
      </c>
      <c r="D44" s="138">
        <v>1600.0</v>
      </c>
      <c r="E44" s="139">
        <v>120000.0</v>
      </c>
      <c r="F44" s="140">
        <f t="shared" si="1"/>
        <v>75</v>
      </c>
    </row>
    <row r="45" ht="14.25" customHeight="1">
      <c r="A45" s="136" t="s">
        <v>424</v>
      </c>
      <c r="B45" s="137" t="s">
        <v>460</v>
      </c>
      <c r="C45" s="137" t="s">
        <v>24</v>
      </c>
      <c r="D45" s="138">
        <v>250.0</v>
      </c>
      <c r="E45" s="139">
        <v>28600.0</v>
      </c>
      <c r="F45" s="140">
        <f t="shared" si="1"/>
        <v>114.4</v>
      </c>
    </row>
    <row r="46" ht="14.25" customHeight="1">
      <c r="A46" s="136" t="s">
        <v>424</v>
      </c>
      <c r="B46" s="137" t="s">
        <v>461</v>
      </c>
      <c r="C46" s="137" t="s">
        <v>24</v>
      </c>
      <c r="D46" s="138">
        <v>1000.0</v>
      </c>
      <c r="E46" s="139">
        <v>45000.0</v>
      </c>
      <c r="F46" s="140">
        <f t="shared" si="1"/>
        <v>45</v>
      </c>
    </row>
    <row r="47" ht="14.25" customHeight="1">
      <c r="A47" s="136" t="s">
        <v>424</v>
      </c>
      <c r="B47" s="137" t="s">
        <v>41</v>
      </c>
      <c r="C47" s="137" t="s">
        <v>24</v>
      </c>
      <c r="D47" s="138">
        <v>1000.0</v>
      </c>
      <c r="E47" s="139">
        <v>72300.0</v>
      </c>
      <c r="F47" s="140">
        <f t="shared" si="1"/>
        <v>72.3</v>
      </c>
    </row>
    <row r="48" ht="14.25" customHeight="1">
      <c r="A48" s="136" t="s">
        <v>424</v>
      </c>
      <c r="B48" s="137" t="s">
        <v>462</v>
      </c>
      <c r="C48" s="137" t="s">
        <v>24</v>
      </c>
      <c r="D48" s="138">
        <v>500.0</v>
      </c>
      <c r="E48" s="139">
        <v>259999.0</v>
      </c>
      <c r="F48" s="140">
        <f t="shared" si="1"/>
        <v>519.998</v>
      </c>
    </row>
    <row r="49" ht="14.25" customHeight="1">
      <c r="A49" s="136" t="s">
        <v>424</v>
      </c>
      <c r="B49" s="137" t="s">
        <v>463</v>
      </c>
      <c r="C49" s="137" t="s">
        <v>24</v>
      </c>
      <c r="D49" s="138">
        <v>1000.0</v>
      </c>
      <c r="E49" s="139">
        <v>84950.0</v>
      </c>
      <c r="F49" s="140">
        <f t="shared" si="1"/>
        <v>84.95</v>
      </c>
    </row>
    <row r="50" ht="14.25" customHeight="1">
      <c r="A50" s="136" t="s">
        <v>424</v>
      </c>
      <c r="B50" s="137" t="s">
        <v>464</v>
      </c>
      <c r="C50" s="137" t="s">
        <v>24</v>
      </c>
      <c r="D50" s="138">
        <v>5500.0</v>
      </c>
      <c r="E50" s="139">
        <v>113500.0</v>
      </c>
      <c r="F50" s="140">
        <f t="shared" si="1"/>
        <v>20.63636364</v>
      </c>
    </row>
    <row r="51" ht="14.25" customHeight="1">
      <c r="A51" s="136" t="s">
        <v>424</v>
      </c>
      <c r="B51" s="137" t="s">
        <v>138</v>
      </c>
      <c r="C51" s="137" t="s">
        <v>24</v>
      </c>
      <c r="D51" s="138">
        <v>300.0</v>
      </c>
      <c r="E51" s="139">
        <v>105500.0</v>
      </c>
      <c r="F51" s="140">
        <f t="shared" si="1"/>
        <v>351.6666667</v>
      </c>
    </row>
    <row r="52" ht="14.25" customHeight="1">
      <c r="A52" s="136" t="s">
        <v>424</v>
      </c>
      <c r="B52" s="137" t="s">
        <v>465</v>
      </c>
      <c r="C52" s="137" t="s">
        <v>24</v>
      </c>
      <c r="D52" s="138">
        <v>1600.0</v>
      </c>
      <c r="E52" s="139">
        <v>120000.0</v>
      </c>
      <c r="F52" s="140">
        <f t="shared" si="1"/>
        <v>75</v>
      </c>
    </row>
    <row r="53" ht="14.25" customHeight="1">
      <c r="A53" s="136" t="s">
        <v>424</v>
      </c>
      <c r="B53" s="137" t="s">
        <v>374</v>
      </c>
      <c r="C53" s="137" t="s">
        <v>24</v>
      </c>
      <c r="D53" s="138">
        <v>1000.0</v>
      </c>
      <c r="E53" s="139">
        <v>140000.0</v>
      </c>
      <c r="F53" s="140">
        <f t="shared" si="1"/>
        <v>140</v>
      </c>
    </row>
    <row r="54" ht="14.25" customHeight="1">
      <c r="A54" s="136" t="s">
        <v>424</v>
      </c>
      <c r="B54" s="137" t="s">
        <v>466</v>
      </c>
      <c r="C54" s="137" t="s">
        <v>59</v>
      </c>
      <c r="D54" s="138">
        <v>950.0</v>
      </c>
      <c r="E54" s="139">
        <v>36500.0</v>
      </c>
      <c r="F54" s="140">
        <f t="shared" si="1"/>
        <v>38.42105263</v>
      </c>
    </row>
    <row r="55" ht="14.25" customHeight="1">
      <c r="A55" s="136" t="s">
        <v>424</v>
      </c>
      <c r="B55" s="137" t="s">
        <v>467</v>
      </c>
      <c r="C55" s="137" t="s">
        <v>24</v>
      </c>
      <c r="D55" s="138">
        <v>1000.0</v>
      </c>
      <c r="E55" s="139">
        <v>24000.0</v>
      </c>
      <c r="F55" s="140">
        <f t="shared" si="1"/>
        <v>24</v>
      </c>
    </row>
    <row r="56" ht="14.25" customHeight="1">
      <c r="A56" s="136" t="s">
        <v>424</v>
      </c>
      <c r="B56" s="137" t="s">
        <v>468</v>
      </c>
      <c r="C56" s="137" t="s">
        <v>24</v>
      </c>
      <c r="D56" s="138">
        <v>1000.0</v>
      </c>
      <c r="E56" s="139">
        <v>43000.0</v>
      </c>
      <c r="F56" s="140">
        <f t="shared" si="1"/>
        <v>43</v>
      </c>
    </row>
    <row r="57" ht="14.25" customHeight="1">
      <c r="A57" s="136" t="s">
        <v>424</v>
      </c>
      <c r="B57" s="137" t="s">
        <v>469</v>
      </c>
      <c r="C57" s="137" t="s">
        <v>24</v>
      </c>
      <c r="D57" s="138">
        <v>1000.0</v>
      </c>
      <c r="E57" s="139">
        <v>42790.0</v>
      </c>
      <c r="F57" s="140">
        <f t="shared" si="1"/>
        <v>42.79</v>
      </c>
    </row>
    <row r="58" ht="14.25" customHeight="1">
      <c r="A58" s="136" t="s">
        <v>424</v>
      </c>
      <c r="B58" s="137" t="s">
        <v>470</v>
      </c>
      <c r="C58" s="137" t="s">
        <v>59</v>
      </c>
      <c r="D58" s="138">
        <v>620.0</v>
      </c>
      <c r="E58" s="139">
        <v>39000.0</v>
      </c>
      <c r="F58" s="140">
        <f t="shared" si="1"/>
        <v>62.90322581</v>
      </c>
    </row>
    <row r="59" ht="14.25" customHeight="1">
      <c r="A59" s="136" t="s">
        <v>424</v>
      </c>
      <c r="B59" s="137" t="s">
        <v>265</v>
      </c>
      <c r="C59" s="137" t="s">
        <v>24</v>
      </c>
      <c r="D59" s="138">
        <v>1000.0</v>
      </c>
      <c r="E59" s="139">
        <v>51019.0</v>
      </c>
      <c r="F59" s="140">
        <f t="shared" si="1"/>
        <v>51.019</v>
      </c>
    </row>
    <row r="60" ht="14.25" customHeight="1">
      <c r="A60" s="136" t="s">
        <v>424</v>
      </c>
      <c r="B60" s="137" t="s">
        <v>471</v>
      </c>
      <c r="C60" s="137" t="s">
        <v>22</v>
      </c>
      <c r="D60" s="138">
        <v>1000.0</v>
      </c>
      <c r="E60" s="139">
        <v>320000.0</v>
      </c>
      <c r="F60" s="140">
        <f t="shared" si="1"/>
        <v>320</v>
      </c>
    </row>
    <row r="61" ht="14.25" customHeight="1">
      <c r="A61" s="136" t="s">
        <v>424</v>
      </c>
      <c r="B61" s="137" t="s">
        <v>28</v>
      </c>
      <c r="C61" s="137" t="s">
        <v>24</v>
      </c>
      <c r="D61" s="138">
        <v>1000.0</v>
      </c>
      <c r="E61" s="139">
        <v>148000.0</v>
      </c>
      <c r="F61" s="140">
        <f t="shared" si="1"/>
        <v>148</v>
      </c>
    </row>
    <row r="62" ht="14.25" customHeight="1">
      <c r="A62" s="136" t="s">
        <v>424</v>
      </c>
      <c r="B62" s="137" t="s">
        <v>38</v>
      </c>
      <c r="C62" s="137" t="s">
        <v>24</v>
      </c>
      <c r="D62" s="145">
        <v>1000.0</v>
      </c>
      <c r="E62" s="139">
        <v>185000.0</v>
      </c>
      <c r="F62" s="140">
        <f t="shared" si="1"/>
        <v>185</v>
      </c>
    </row>
    <row r="63" ht="14.25" customHeight="1">
      <c r="A63" s="136" t="s">
        <v>424</v>
      </c>
      <c r="B63" s="137" t="s">
        <v>346</v>
      </c>
      <c r="C63" s="137" t="s">
        <v>475</v>
      </c>
      <c r="D63" s="138">
        <v>14.0</v>
      </c>
      <c r="E63" s="139">
        <v>25000.0</v>
      </c>
      <c r="F63" s="140">
        <f t="shared" si="1"/>
        <v>1785.714286</v>
      </c>
    </row>
    <row r="64" ht="14.25" customHeight="1">
      <c r="A64" s="136" t="s">
        <v>424</v>
      </c>
      <c r="B64" s="137" t="s">
        <v>331</v>
      </c>
      <c r="C64" s="137" t="s">
        <v>24</v>
      </c>
      <c r="D64" s="138">
        <v>500.0</v>
      </c>
      <c r="E64" s="139">
        <v>8000.0</v>
      </c>
      <c r="F64" s="140">
        <f t="shared" si="1"/>
        <v>16</v>
      </c>
    </row>
    <row r="65" ht="14.25" customHeight="1">
      <c r="A65" s="136" t="s">
        <v>424</v>
      </c>
      <c r="B65" s="137" t="s">
        <v>477</v>
      </c>
      <c r="C65" s="137" t="s">
        <v>24</v>
      </c>
      <c r="D65" s="138">
        <v>200.0</v>
      </c>
      <c r="E65" s="139">
        <v>23450.0</v>
      </c>
      <c r="F65" s="140">
        <f t="shared" si="1"/>
        <v>117.25</v>
      </c>
    </row>
    <row r="66" ht="14.25" customHeight="1">
      <c r="A66" s="136" t="s">
        <v>424</v>
      </c>
      <c r="B66" s="137" t="s">
        <v>44</v>
      </c>
      <c r="C66" s="137" t="s">
        <v>24</v>
      </c>
      <c r="D66" s="138">
        <v>50.0</v>
      </c>
      <c r="E66" s="139">
        <v>24800.0</v>
      </c>
      <c r="F66" s="140">
        <f t="shared" si="1"/>
        <v>496</v>
      </c>
    </row>
    <row r="67" ht="14.25" customHeight="1">
      <c r="A67" s="136" t="s">
        <v>424</v>
      </c>
      <c r="B67" s="137" t="s">
        <v>479</v>
      </c>
      <c r="C67" s="137" t="s">
        <v>24</v>
      </c>
      <c r="D67" s="138">
        <v>5000.0</v>
      </c>
      <c r="E67" s="139">
        <v>13500.0</v>
      </c>
      <c r="F67" s="140">
        <f t="shared" si="1"/>
        <v>2.7</v>
      </c>
    </row>
    <row r="68" ht="14.25" customHeight="1">
      <c r="A68" s="136" t="s">
        <v>424</v>
      </c>
      <c r="B68" s="137" t="s">
        <v>480</v>
      </c>
      <c r="C68" s="137" t="s">
        <v>24</v>
      </c>
      <c r="D68" s="138">
        <v>100.0</v>
      </c>
      <c r="E68" s="139">
        <v>15000.0</v>
      </c>
      <c r="F68" s="140">
        <f t="shared" si="1"/>
        <v>150</v>
      </c>
    </row>
    <row r="69" ht="14.25" customHeight="1">
      <c r="A69" s="136" t="s">
        <v>424</v>
      </c>
      <c r="B69" s="137" t="s">
        <v>481</v>
      </c>
      <c r="C69" s="137" t="s">
        <v>24</v>
      </c>
      <c r="D69" s="138">
        <v>50.0</v>
      </c>
      <c r="E69" s="139">
        <v>12800.0</v>
      </c>
      <c r="F69" s="140">
        <f t="shared" si="1"/>
        <v>256</v>
      </c>
    </row>
    <row r="70" ht="14.25" customHeight="1">
      <c r="A70" s="136" t="s">
        <v>424</v>
      </c>
      <c r="B70" s="137" t="s">
        <v>486</v>
      </c>
      <c r="C70" s="137" t="s">
        <v>24</v>
      </c>
      <c r="D70" s="138">
        <v>300.0</v>
      </c>
      <c r="E70" s="139">
        <v>105500.0</v>
      </c>
      <c r="F70" s="140">
        <f t="shared" si="1"/>
        <v>351.6666667</v>
      </c>
    </row>
    <row r="71" ht="14.25" customHeight="1">
      <c r="A71" s="136" t="s">
        <v>424</v>
      </c>
      <c r="B71" s="137" t="s">
        <v>487</v>
      </c>
      <c r="C71" s="137" t="s">
        <v>24</v>
      </c>
      <c r="D71" s="138">
        <v>1000.0</v>
      </c>
      <c r="E71" s="139">
        <v>155500.0</v>
      </c>
      <c r="F71" s="140">
        <f t="shared" si="1"/>
        <v>155.5</v>
      </c>
    </row>
    <row r="72" ht="14.25" customHeight="1">
      <c r="A72" s="136" t="s">
        <v>424</v>
      </c>
      <c r="B72" s="137" t="s">
        <v>489</v>
      </c>
      <c r="C72" s="137" t="s">
        <v>24</v>
      </c>
      <c r="D72" s="138">
        <v>1000.0</v>
      </c>
      <c r="E72" s="139">
        <v>55000.0</v>
      </c>
      <c r="F72" s="140">
        <f t="shared" si="1"/>
        <v>55</v>
      </c>
    </row>
    <row r="73" ht="14.25" customHeight="1">
      <c r="A73" s="136" t="s">
        <v>424</v>
      </c>
      <c r="B73" s="137" t="s">
        <v>57</v>
      </c>
      <c r="C73" s="137" t="s">
        <v>59</v>
      </c>
      <c r="D73" s="138">
        <v>18000.0</v>
      </c>
      <c r="E73" s="139">
        <v>395000.0</v>
      </c>
      <c r="F73" s="140">
        <f t="shared" si="1"/>
        <v>21.94444444</v>
      </c>
    </row>
    <row r="74" ht="14.25" customHeight="1">
      <c r="A74" s="136" t="s">
        <v>424</v>
      </c>
      <c r="B74" s="137" t="s">
        <v>491</v>
      </c>
      <c r="C74" s="137" t="s">
        <v>59</v>
      </c>
      <c r="D74" s="138">
        <v>300.0</v>
      </c>
      <c r="E74" s="139">
        <v>220000.0</v>
      </c>
      <c r="F74" s="140">
        <f t="shared" si="1"/>
        <v>733.3333333</v>
      </c>
    </row>
    <row r="75" ht="14.25" customHeight="1">
      <c r="A75" s="136" t="s">
        <v>424</v>
      </c>
      <c r="B75" s="137" t="s">
        <v>493</v>
      </c>
      <c r="C75" s="137" t="s">
        <v>59</v>
      </c>
      <c r="D75" s="138">
        <v>18000.0</v>
      </c>
      <c r="E75" s="139">
        <v>56700.0</v>
      </c>
      <c r="F75" s="140">
        <f t="shared" si="1"/>
        <v>3.15</v>
      </c>
    </row>
    <row r="76" ht="14.25" customHeight="1">
      <c r="A76" s="136" t="s">
        <v>424</v>
      </c>
      <c r="B76" s="137" t="s">
        <v>92</v>
      </c>
      <c r="C76" s="137" t="s">
        <v>24</v>
      </c>
      <c r="D76" s="138">
        <v>1000.0</v>
      </c>
      <c r="E76" s="139">
        <v>13000.0</v>
      </c>
      <c r="F76" s="140">
        <f t="shared" si="1"/>
        <v>13</v>
      </c>
    </row>
    <row r="77" ht="14.25" customHeight="1">
      <c r="A77" s="136" t="s">
        <v>424</v>
      </c>
      <c r="B77" s="137" t="s">
        <v>494</v>
      </c>
      <c r="C77" s="137" t="s">
        <v>24</v>
      </c>
      <c r="D77" s="138">
        <v>1000.0</v>
      </c>
      <c r="E77" s="139">
        <v>13000.0</v>
      </c>
      <c r="F77" s="140">
        <f t="shared" si="1"/>
        <v>13</v>
      </c>
    </row>
    <row r="78" ht="14.25" customHeight="1">
      <c r="A78" s="136" t="s">
        <v>424</v>
      </c>
      <c r="B78" s="137" t="s">
        <v>496</v>
      </c>
      <c r="C78" s="137" t="s">
        <v>59</v>
      </c>
      <c r="D78" s="138"/>
      <c r="E78" s="139"/>
      <c r="F78" s="140">
        <f t="shared" si="1"/>
        <v>0</v>
      </c>
    </row>
    <row r="79" ht="14.25" customHeight="1">
      <c r="A79" s="136" t="s">
        <v>424</v>
      </c>
      <c r="B79" s="137" t="s">
        <v>497</v>
      </c>
      <c r="C79" s="137" t="s">
        <v>24</v>
      </c>
      <c r="D79" s="138">
        <v>1000.0</v>
      </c>
      <c r="E79" s="139">
        <v>113000.0</v>
      </c>
      <c r="F79" s="140">
        <f t="shared" si="1"/>
        <v>113</v>
      </c>
    </row>
    <row r="80" ht="14.25" customHeight="1">
      <c r="A80" s="136" t="s">
        <v>424</v>
      </c>
      <c r="B80" s="137" t="s">
        <v>499</v>
      </c>
      <c r="C80" s="137" t="s">
        <v>24</v>
      </c>
      <c r="D80" s="138">
        <v>770.0</v>
      </c>
      <c r="E80" s="139">
        <v>50000.0</v>
      </c>
      <c r="F80" s="140">
        <f t="shared" si="1"/>
        <v>64.93506494</v>
      </c>
    </row>
    <row r="81" ht="14.25" customHeight="1">
      <c r="A81" s="136" t="s">
        <v>424</v>
      </c>
      <c r="B81" s="137" t="s">
        <v>234</v>
      </c>
      <c r="C81" s="137" t="s">
        <v>24</v>
      </c>
      <c r="D81" s="138">
        <v>2000.0</v>
      </c>
      <c r="E81" s="139">
        <v>182100.0</v>
      </c>
      <c r="F81" s="140">
        <f t="shared" si="1"/>
        <v>91.05</v>
      </c>
    </row>
    <row r="82" ht="14.25" customHeight="1">
      <c r="A82" s="136" t="s">
        <v>424</v>
      </c>
      <c r="B82" s="137" t="s">
        <v>501</v>
      </c>
      <c r="C82" s="137" t="s">
        <v>385</v>
      </c>
      <c r="D82" s="138">
        <v>14.0</v>
      </c>
      <c r="E82" s="139">
        <v>25000.0</v>
      </c>
      <c r="F82" s="140">
        <f t="shared" si="1"/>
        <v>1785.714286</v>
      </c>
    </row>
    <row r="83" ht="14.25" customHeight="1">
      <c r="A83" s="136" t="s">
        <v>424</v>
      </c>
      <c r="B83" s="137" t="s">
        <v>503</v>
      </c>
      <c r="C83" s="137" t="s">
        <v>504</v>
      </c>
      <c r="D83" s="138">
        <v>200.0</v>
      </c>
      <c r="E83" s="139">
        <v>23450.0</v>
      </c>
      <c r="F83" s="140">
        <f t="shared" si="1"/>
        <v>117.25</v>
      </c>
    </row>
    <row r="84" ht="14.25" customHeight="1">
      <c r="A84" s="136" t="s">
        <v>424</v>
      </c>
      <c r="B84" s="137" t="s">
        <v>505</v>
      </c>
      <c r="C84" s="137" t="s">
        <v>24</v>
      </c>
      <c r="D84" s="138">
        <v>1000.0</v>
      </c>
      <c r="E84" s="139">
        <v>13000.0</v>
      </c>
      <c r="F84" s="140">
        <f t="shared" si="1"/>
        <v>13</v>
      </c>
    </row>
    <row r="85" ht="14.25" customHeight="1">
      <c r="A85" s="136" t="s">
        <v>424</v>
      </c>
      <c r="B85" s="137" t="s">
        <v>506</v>
      </c>
      <c r="C85" s="137" t="s">
        <v>24</v>
      </c>
      <c r="D85" s="138"/>
      <c r="E85" s="139"/>
      <c r="F85" s="140">
        <f t="shared" si="1"/>
        <v>0</v>
      </c>
    </row>
    <row r="86" ht="14.25" customHeight="1">
      <c r="A86" s="136" t="s">
        <v>424</v>
      </c>
      <c r="B86" s="137" t="s">
        <v>507</v>
      </c>
      <c r="C86" s="137" t="s">
        <v>24</v>
      </c>
      <c r="D86" s="138">
        <v>1000.0</v>
      </c>
      <c r="E86" s="139">
        <v>46500.0</v>
      </c>
      <c r="F86" s="140">
        <f t="shared" si="1"/>
        <v>46.5</v>
      </c>
    </row>
    <row r="87" ht="14.25" customHeight="1">
      <c r="A87" s="136" t="s">
        <v>424</v>
      </c>
      <c r="B87" s="137" t="s">
        <v>101</v>
      </c>
      <c r="C87" s="137" t="s">
        <v>24</v>
      </c>
      <c r="D87" s="138">
        <v>1000.0</v>
      </c>
      <c r="E87" s="139">
        <v>65000.0</v>
      </c>
      <c r="F87" s="140">
        <f t="shared" si="1"/>
        <v>65</v>
      </c>
    </row>
    <row r="88" ht="14.25" customHeight="1">
      <c r="A88" s="136" t="s">
        <v>424</v>
      </c>
      <c r="B88" s="137" t="s">
        <v>508</v>
      </c>
      <c r="C88" s="137" t="s">
        <v>24</v>
      </c>
      <c r="D88" s="138">
        <v>1000.0</v>
      </c>
      <c r="E88" s="139">
        <v>38000.0</v>
      </c>
      <c r="F88" s="140">
        <f t="shared" si="1"/>
        <v>38</v>
      </c>
    </row>
    <row r="89" ht="14.25" customHeight="1">
      <c r="A89" s="136" t="s">
        <v>424</v>
      </c>
      <c r="B89" s="137" t="s">
        <v>509</v>
      </c>
      <c r="C89" s="137" t="s">
        <v>24</v>
      </c>
      <c r="D89" s="138">
        <v>1000.0</v>
      </c>
      <c r="E89" s="139">
        <v>20000.0</v>
      </c>
      <c r="F89" s="140">
        <f t="shared" si="1"/>
        <v>20</v>
      </c>
    </row>
    <row r="90" ht="14.25" customHeight="1">
      <c r="A90" s="136" t="s">
        <v>424</v>
      </c>
      <c r="B90" s="137" t="s">
        <v>510</v>
      </c>
      <c r="C90" s="137" t="s">
        <v>24</v>
      </c>
      <c r="D90" s="138">
        <v>1000.0</v>
      </c>
      <c r="E90" s="139">
        <v>35000.0</v>
      </c>
      <c r="F90" s="140">
        <f t="shared" si="1"/>
        <v>35</v>
      </c>
    </row>
    <row r="91" ht="14.25" customHeight="1">
      <c r="A91" s="136" t="s">
        <v>424</v>
      </c>
      <c r="B91" s="137" t="s">
        <v>511</v>
      </c>
      <c r="C91" s="137" t="s">
        <v>24</v>
      </c>
      <c r="D91" s="138">
        <v>18000.0</v>
      </c>
      <c r="E91" s="139">
        <v>395000.0</v>
      </c>
      <c r="F91" s="140">
        <f t="shared" si="1"/>
        <v>21.94444444</v>
      </c>
    </row>
    <row r="92" ht="14.25" customHeight="1">
      <c r="A92" s="136" t="s">
        <v>424</v>
      </c>
      <c r="B92" s="137" t="s">
        <v>512</v>
      </c>
      <c r="C92" s="137" t="s">
        <v>24</v>
      </c>
      <c r="D92" s="138">
        <v>1000.0</v>
      </c>
      <c r="E92" s="139">
        <v>14500.0</v>
      </c>
      <c r="F92" s="140">
        <f t="shared" si="1"/>
        <v>14.5</v>
      </c>
    </row>
    <row r="93" ht="14.25" customHeight="1">
      <c r="A93" s="136" t="s">
        <v>424</v>
      </c>
      <c r="B93" s="137" t="s">
        <v>514</v>
      </c>
      <c r="C93" s="137" t="s">
        <v>24</v>
      </c>
      <c r="D93" s="138">
        <v>1600.0</v>
      </c>
      <c r="E93" s="139">
        <v>120000.0</v>
      </c>
      <c r="F93" s="140">
        <f t="shared" si="1"/>
        <v>75</v>
      </c>
    </row>
    <row r="94" ht="14.25" customHeight="1">
      <c r="A94" s="136" t="s">
        <v>424</v>
      </c>
      <c r="B94" s="137" t="s">
        <v>516</v>
      </c>
      <c r="C94" s="137" t="s">
        <v>504</v>
      </c>
      <c r="D94" s="138"/>
      <c r="E94" s="139"/>
      <c r="F94" s="140">
        <f t="shared" si="1"/>
        <v>0</v>
      </c>
    </row>
    <row r="95" ht="14.25" customHeight="1">
      <c r="A95" s="136" t="s">
        <v>424</v>
      </c>
      <c r="B95" s="137" t="s">
        <v>413</v>
      </c>
      <c r="C95" s="137" t="s">
        <v>24</v>
      </c>
      <c r="D95" s="138">
        <v>250.0</v>
      </c>
      <c r="E95" s="139">
        <v>242950.0</v>
      </c>
      <c r="F95" s="140">
        <f t="shared" si="1"/>
        <v>971.8</v>
      </c>
    </row>
    <row r="96" ht="14.25" customHeight="1">
      <c r="A96" s="136" t="s">
        <v>424</v>
      </c>
      <c r="B96" s="137" t="s">
        <v>197</v>
      </c>
      <c r="C96" s="137" t="s">
        <v>519</v>
      </c>
      <c r="D96" s="138">
        <v>60.0</v>
      </c>
      <c r="E96" s="139">
        <v>164500.0</v>
      </c>
      <c r="F96" s="140">
        <f t="shared" si="1"/>
        <v>2741.666667</v>
      </c>
    </row>
    <row r="97" ht="14.25" customHeight="1">
      <c r="A97" s="136" t="s">
        <v>424</v>
      </c>
      <c r="B97" s="137" t="s">
        <v>521</v>
      </c>
      <c r="C97" s="137" t="s">
        <v>24</v>
      </c>
      <c r="D97" s="138">
        <v>300.0</v>
      </c>
      <c r="E97" s="139">
        <v>105500.0</v>
      </c>
      <c r="F97" s="140">
        <f t="shared" si="1"/>
        <v>351.6666667</v>
      </c>
    </row>
    <row r="98" ht="14.25" customHeight="1">
      <c r="A98" s="136" t="s">
        <v>424</v>
      </c>
      <c r="B98" s="137" t="s">
        <v>522</v>
      </c>
      <c r="C98" s="137" t="s">
        <v>22</v>
      </c>
      <c r="D98" s="138">
        <v>14.0</v>
      </c>
      <c r="E98" s="139">
        <v>25000.0</v>
      </c>
      <c r="F98" s="140">
        <f t="shared" si="1"/>
        <v>1785.714286</v>
      </c>
    </row>
    <row r="99" ht="14.25" customHeight="1">
      <c r="A99" s="136" t="s">
        <v>424</v>
      </c>
      <c r="B99" s="137" t="s">
        <v>105</v>
      </c>
      <c r="C99" s="137" t="s">
        <v>24</v>
      </c>
      <c r="D99" s="138">
        <v>1000.0</v>
      </c>
      <c r="E99" s="139">
        <v>135000.0</v>
      </c>
      <c r="F99" s="140">
        <f t="shared" si="1"/>
        <v>135</v>
      </c>
    </row>
    <row r="100" ht="14.25" customHeight="1">
      <c r="A100" s="136" t="s">
        <v>424</v>
      </c>
      <c r="B100" s="137" t="s">
        <v>523</v>
      </c>
      <c r="C100" s="137" t="s">
        <v>24</v>
      </c>
      <c r="D100" s="138">
        <v>1000.0</v>
      </c>
      <c r="E100" s="139">
        <v>82466.0</v>
      </c>
      <c r="F100" s="140">
        <f t="shared" si="1"/>
        <v>82.466</v>
      </c>
    </row>
    <row r="101" ht="14.25" customHeight="1">
      <c r="A101" s="136" t="s">
        <v>424</v>
      </c>
      <c r="B101" s="137" t="s">
        <v>524</v>
      </c>
      <c r="C101" s="137" t="s">
        <v>24</v>
      </c>
      <c r="D101" s="138">
        <v>1000.0</v>
      </c>
      <c r="E101" s="139">
        <v>89900.0</v>
      </c>
      <c r="F101" s="140">
        <f t="shared" si="1"/>
        <v>89.9</v>
      </c>
    </row>
    <row r="102" ht="14.25" customHeight="1">
      <c r="A102" s="136" t="s">
        <v>424</v>
      </c>
      <c r="B102" s="137" t="s">
        <v>527</v>
      </c>
      <c r="C102" s="137" t="s">
        <v>24</v>
      </c>
      <c r="D102" s="138">
        <v>1800.0</v>
      </c>
      <c r="E102" s="139">
        <v>172700.46</v>
      </c>
      <c r="F102" s="140">
        <f t="shared" si="1"/>
        <v>95.9447</v>
      </c>
    </row>
    <row r="103" ht="14.25" customHeight="1">
      <c r="A103" s="136" t="s">
        <v>424</v>
      </c>
      <c r="B103" s="137" t="s">
        <v>528</v>
      </c>
      <c r="C103" s="137" t="s">
        <v>24</v>
      </c>
      <c r="D103" s="138">
        <v>1000.0</v>
      </c>
      <c r="E103" s="139">
        <v>84950.0</v>
      </c>
      <c r="F103" s="140">
        <f t="shared" si="1"/>
        <v>84.95</v>
      </c>
    </row>
    <row r="104" ht="14.25" customHeight="1">
      <c r="A104" s="136" t="s">
        <v>424</v>
      </c>
      <c r="B104" s="137" t="s">
        <v>529</v>
      </c>
      <c r="C104" s="137" t="s">
        <v>24</v>
      </c>
      <c r="D104" s="138">
        <v>283.5</v>
      </c>
      <c r="E104" s="139">
        <v>64600.0</v>
      </c>
      <c r="F104" s="140">
        <f t="shared" si="1"/>
        <v>227.8659612</v>
      </c>
    </row>
    <row r="105" ht="14.25" customHeight="1">
      <c r="A105" s="136" t="s">
        <v>424</v>
      </c>
      <c r="B105" s="137" t="s">
        <v>530</v>
      </c>
      <c r="C105" s="137" t="s">
        <v>504</v>
      </c>
      <c r="D105" s="138">
        <v>1000.0</v>
      </c>
      <c r="E105" s="139">
        <v>39999.0</v>
      </c>
      <c r="F105" s="140">
        <f t="shared" si="1"/>
        <v>39.999</v>
      </c>
    </row>
    <row r="106" ht="14.25" customHeight="1">
      <c r="A106" s="136" t="s">
        <v>424</v>
      </c>
      <c r="B106" s="137" t="s">
        <v>531</v>
      </c>
      <c r="C106" s="137" t="s">
        <v>24</v>
      </c>
      <c r="D106" s="138">
        <v>1000.0</v>
      </c>
      <c r="E106" s="139">
        <v>13000.0</v>
      </c>
      <c r="F106" s="140">
        <f t="shared" si="1"/>
        <v>13</v>
      </c>
    </row>
    <row r="107" ht="14.25" customHeight="1">
      <c r="A107" s="136" t="s">
        <v>424</v>
      </c>
      <c r="B107" s="137" t="s">
        <v>532</v>
      </c>
      <c r="C107" s="137" t="s">
        <v>24</v>
      </c>
      <c r="D107" s="138">
        <v>1000.0</v>
      </c>
      <c r="E107" s="139">
        <v>22500.0</v>
      </c>
      <c r="F107" s="140">
        <f t="shared" si="1"/>
        <v>22.5</v>
      </c>
    </row>
    <row r="108" ht="14.25" customHeight="1">
      <c r="A108" s="136" t="s">
        <v>424</v>
      </c>
      <c r="B108" s="137" t="s">
        <v>533</v>
      </c>
      <c r="C108" s="137" t="s">
        <v>24</v>
      </c>
      <c r="D108" s="138">
        <v>450.0</v>
      </c>
      <c r="E108" s="139">
        <v>50000.0</v>
      </c>
      <c r="F108" s="140">
        <f t="shared" si="1"/>
        <v>111.1111111</v>
      </c>
    </row>
    <row r="109" ht="14.25" customHeight="1">
      <c r="A109" s="136" t="s">
        <v>424</v>
      </c>
      <c r="B109" s="137" t="s">
        <v>534</v>
      </c>
      <c r="C109" s="137" t="s">
        <v>24</v>
      </c>
      <c r="D109" s="138">
        <v>300.0</v>
      </c>
      <c r="E109" s="139">
        <v>105500.0</v>
      </c>
      <c r="F109" s="140">
        <f t="shared" si="1"/>
        <v>351.6666667</v>
      </c>
    </row>
    <row r="110" ht="14.25" customHeight="1">
      <c r="A110" s="136" t="s">
        <v>424</v>
      </c>
      <c r="B110" s="137" t="s">
        <v>535</v>
      </c>
      <c r="C110" s="137" t="s">
        <v>24</v>
      </c>
      <c r="D110" s="138">
        <v>1000.0</v>
      </c>
      <c r="E110" s="139">
        <v>111876.0</v>
      </c>
      <c r="F110" s="140">
        <f t="shared" si="1"/>
        <v>111.876</v>
      </c>
    </row>
    <row r="111" ht="14.25" customHeight="1">
      <c r="A111" s="136" t="s">
        <v>424</v>
      </c>
      <c r="B111" s="137" t="s">
        <v>536</v>
      </c>
      <c r="C111" s="137" t="s">
        <v>24</v>
      </c>
      <c r="D111" s="138">
        <v>1000.0</v>
      </c>
      <c r="E111" s="139">
        <v>46500.0</v>
      </c>
      <c r="F111" s="140">
        <f t="shared" si="1"/>
        <v>46.5</v>
      </c>
    </row>
    <row r="112" ht="14.25" customHeight="1">
      <c r="A112" s="136" t="s">
        <v>424</v>
      </c>
      <c r="B112" s="137" t="s">
        <v>537</v>
      </c>
      <c r="C112" s="137" t="s">
        <v>24</v>
      </c>
      <c r="D112" s="138"/>
      <c r="E112" s="139"/>
      <c r="F112" s="140">
        <f t="shared" si="1"/>
        <v>0</v>
      </c>
    </row>
    <row r="113" ht="14.25" customHeight="1">
      <c r="A113" s="136" t="s">
        <v>424</v>
      </c>
      <c r="B113" s="137" t="s">
        <v>538</v>
      </c>
      <c r="C113" s="137" t="s">
        <v>59</v>
      </c>
      <c r="D113" s="138">
        <v>18000.0</v>
      </c>
      <c r="E113" s="139">
        <v>395000.0</v>
      </c>
      <c r="F113" s="140">
        <f t="shared" si="1"/>
        <v>21.94444444</v>
      </c>
    </row>
    <row r="114" ht="14.25" customHeight="1">
      <c r="A114" s="136" t="s">
        <v>424</v>
      </c>
      <c r="B114" s="137" t="s">
        <v>539</v>
      </c>
      <c r="C114" s="137" t="s">
        <v>24</v>
      </c>
      <c r="D114" s="138">
        <v>770.0</v>
      </c>
      <c r="E114" s="139">
        <v>50000.0</v>
      </c>
      <c r="F114" s="140">
        <f t="shared" si="1"/>
        <v>64.93506494</v>
      </c>
    </row>
    <row r="115" ht="14.25" customHeight="1">
      <c r="A115" s="136" t="s">
        <v>424</v>
      </c>
      <c r="B115" s="137" t="s">
        <v>540</v>
      </c>
      <c r="C115" s="137" t="s">
        <v>24</v>
      </c>
      <c r="D115" s="138">
        <v>250.0</v>
      </c>
      <c r="E115" s="139">
        <v>52900.0</v>
      </c>
      <c r="F115" s="140">
        <f t="shared" si="1"/>
        <v>211.6</v>
      </c>
    </row>
    <row r="116" ht="14.25" customHeight="1">
      <c r="A116" s="136" t="s">
        <v>424</v>
      </c>
      <c r="B116" s="137" t="s">
        <v>541</v>
      </c>
      <c r="C116" s="137" t="s">
        <v>24</v>
      </c>
      <c r="D116" s="138">
        <v>1000.0</v>
      </c>
      <c r="E116" s="139">
        <v>75500.0</v>
      </c>
      <c r="F116" s="140">
        <f t="shared" si="1"/>
        <v>75.5</v>
      </c>
    </row>
    <row r="117" ht="14.25" customHeight="1">
      <c r="A117" s="136" t="s">
        <v>424</v>
      </c>
      <c r="B117" s="137" t="s">
        <v>542</v>
      </c>
      <c r="C117" s="137" t="s">
        <v>24</v>
      </c>
      <c r="D117" s="138">
        <v>1000.0</v>
      </c>
      <c r="E117" s="139">
        <v>130000.0</v>
      </c>
      <c r="F117" s="140">
        <f t="shared" si="1"/>
        <v>130</v>
      </c>
    </row>
    <row r="118" ht="14.25" customHeight="1">
      <c r="A118" s="136" t="s">
        <v>424</v>
      </c>
      <c r="B118" s="137" t="s">
        <v>543</v>
      </c>
      <c r="C118" s="137" t="s">
        <v>24</v>
      </c>
      <c r="D118" s="138">
        <v>1000.0</v>
      </c>
      <c r="E118" s="139">
        <v>18000.0</v>
      </c>
      <c r="F118" s="140">
        <f t="shared" si="1"/>
        <v>18</v>
      </c>
    </row>
    <row r="119" ht="14.25" customHeight="1">
      <c r="A119" s="136" t="s">
        <v>424</v>
      </c>
      <c r="B119" s="137" t="s">
        <v>544</v>
      </c>
      <c r="C119" s="137" t="s">
        <v>24</v>
      </c>
      <c r="D119" s="138">
        <v>300.0</v>
      </c>
      <c r="E119" s="139">
        <v>40800.0</v>
      </c>
      <c r="F119" s="140">
        <f t="shared" si="1"/>
        <v>136</v>
      </c>
    </row>
    <row r="120" ht="14.25" customHeight="1">
      <c r="A120" s="136" t="s">
        <v>424</v>
      </c>
      <c r="B120" s="137" t="s">
        <v>545</v>
      </c>
      <c r="C120" s="137" t="s">
        <v>24</v>
      </c>
      <c r="D120" s="138">
        <v>2000.0</v>
      </c>
      <c r="E120" s="139">
        <v>643199.0</v>
      </c>
      <c r="F120" s="140">
        <f t="shared" si="1"/>
        <v>321.5995</v>
      </c>
    </row>
    <row r="121" ht="14.25" customHeight="1">
      <c r="A121" s="136" t="s">
        <v>424</v>
      </c>
      <c r="B121" s="137" t="s">
        <v>546</v>
      </c>
      <c r="C121" s="137" t="s">
        <v>24</v>
      </c>
      <c r="D121" s="138">
        <v>165.0</v>
      </c>
      <c r="E121" s="139">
        <v>46800.0</v>
      </c>
      <c r="F121" s="140">
        <f t="shared" si="1"/>
        <v>283.6363636</v>
      </c>
    </row>
    <row r="122" ht="14.25" customHeight="1">
      <c r="A122" s="136" t="s">
        <v>424</v>
      </c>
      <c r="B122" s="137" t="s">
        <v>547</v>
      </c>
      <c r="C122" s="137" t="s">
        <v>24</v>
      </c>
      <c r="D122" s="138">
        <v>1000.0</v>
      </c>
      <c r="E122" s="139">
        <v>75500.0</v>
      </c>
      <c r="F122" s="140">
        <f t="shared" si="1"/>
        <v>75.5</v>
      </c>
    </row>
    <row r="123" ht="14.25" customHeight="1">
      <c r="A123" s="136" t="s">
        <v>424</v>
      </c>
      <c r="B123" s="137" t="s">
        <v>548</v>
      </c>
      <c r="C123" s="137" t="s">
        <v>24</v>
      </c>
      <c r="D123" s="138">
        <v>1000.0</v>
      </c>
      <c r="E123" s="139">
        <v>22500.0</v>
      </c>
      <c r="F123" s="140">
        <f t="shared" si="1"/>
        <v>22.5</v>
      </c>
    </row>
    <row r="124" ht="14.25" customHeight="1">
      <c r="A124" s="136" t="s">
        <v>424</v>
      </c>
      <c r="B124" s="137" t="s">
        <v>549</v>
      </c>
      <c r="C124" s="137" t="s">
        <v>24</v>
      </c>
      <c r="D124" s="138">
        <v>500.0</v>
      </c>
      <c r="E124" s="139">
        <v>499500.0</v>
      </c>
      <c r="F124" s="140">
        <f t="shared" si="1"/>
        <v>999</v>
      </c>
    </row>
    <row r="125" ht="14.25" customHeight="1">
      <c r="A125" s="136" t="s">
        <v>424</v>
      </c>
      <c r="B125" s="137" t="s">
        <v>550</v>
      </c>
      <c r="C125" s="137" t="s">
        <v>24</v>
      </c>
      <c r="D125" s="138">
        <v>1000.0</v>
      </c>
      <c r="E125" s="139">
        <v>140000.0</v>
      </c>
      <c r="F125" s="140">
        <f t="shared" si="1"/>
        <v>140</v>
      </c>
    </row>
    <row r="126" ht="14.25" customHeight="1">
      <c r="A126" s="136" t="s">
        <v>424</v>
      </c>
      <c r="B126" s="137" t="s">
        <v>551</v>
      </c>
      <c r="C126" s="137" t="s">
        <v>24</v>
      </c>
      <c r="D126" s="138">
        <v>100.0</v>
      </c>
      <c r="E126" s="139">
        <v>90000.0</v>
      </c>
      <c r="F126" s="140">
        <f t="shared" si="1"/>
        <v>900</v>
      </c>
    </row>
    <row r="127" ht="14.25" customHeight="1">
      <c r="A127" s="136" t="s">
        <v>424</v>
      </c>
      <c r="B127" s="137" t="s">
        <v>552</v>
      </c>
      <c r="C127" s="137" t="s">
        <v>24</v>
      </c>
      <c r="D127" s="138">
        <v>1000.0</v>
      </c>
      <c r="E127" s="139">
        <v>860000.0</v>
      </c>
      <c r="F127" s="140">
        <f t="shared" si="1"/>
        <v>860</v>
      </c>
    </row>
    <row r="128" ht="14.25" customHeight="1">
      <c r="A128" s="136" t="s">
        <v>424</v>
      </c>
      <c r="B128" s="137" t="s">
        <v>553</v>
      </c>
      <c r="C128" s="137" t="s">
        <v>24</v>
      </c>
      <c r="D128" s="138">
        <v>500.0</v>
      </c>
      <c r="E128" s="139">
        <v>52500.0</v>
      </c>
      <c r="F128" s="140">
        <f t="shared" si="1"/>
        <v>105</v>
      </c>
    </row>
    <row r="129" ht="14.25" customHeight="1">
      <c r="A129" s="136" t="s">
        <v>424</v>
      </c>
      <c r="B129" s="137" t="s">
        <v>554</v>
      </c>
      <c r="C129" s="137" t="s">
        <v>24</v>
      </c>
      <c r="D129" s="138">
        <v>18000.0</v>
      </c>
      <c r="E129" s="139">
        <v>56700.0</v>
      </c>
      <c r="F129" s="140">
        <f t="shared" si="1"/>
        <v>3.15</v>
      </c>
    </row>
    <row r="130" ht="14.25" customHeight="1">
      <c r="A130" s="136" t="s">
        <v>424</v>
      </c>
      <c r="B130" s="137" t="s">
        <v>556</v>
      </c>
      <c r="C130" s="137" t="s">
        <v>24</v>
      </c>
      <c r="D130" s="138">
        <v>500.0</v>
      </c>
      <c r="E130" s="139">
        <v>12000.0</v>
      </c>
      <c r="F130" s="140">
        <f t="shared" si="1"/>
        <v>24</v>
      </c>
    </row>
    <row r="131" ht="14.25" customHeight="1">
      <c r="A131" s="136" t="s">
        <v>424</v>
      </c>
      <c r="B131" s="137" t="s">
        <v>557</v>
      </c>
      <c r="C131" s="137" t="s">
        <v>24</v>
      </c>
      <c r="D131" s="138">
        <v>1000.0</v>
      </c>
      <c r="E131" s="139">
        <v>40000.0</v>
      </c>
      <c r="F131" s="140">
        <f t="shared" si="1"/>
        <v>40</v>
      </c>
    </row>
    <row r="132" ht="14.25" customHeight="1">
      <c r="A132" s="136" t="s">
        <v>424</v>
      </c>
      <c r="B132" s="137" t="s">
        <v>559</v>
      </c>
      <c r="C132" s="137" t="s">
        <v>24</v>
      </c>
      <c r="D132" s="138">
        <v>1000.0</v>
      </c>
      <c r="E132" s="139">
        <v>208900.0</v>
      </c>
      <c r="F132" s="140">
        <f t="shared" si="1"/>
        <v>208.9</v>
      </c>
    </row>
    <row r="133" ht="14.25" customHeight="1">
      <c r="A133" s="136" t="s">
        <v>424</v>
      </c>
      <c r="B133" s="137" t="s">
        <v>560</v>
      </c>
      <c r="C133" s="137" t="s">
        <v>24</v>
      </c>
      <c r="D133" s="138">
        <v>1000.0</v>
      </c>
      <c r="E133" s="139">
        <v>13500.0</v>
      </c>
      <c r="F133" s="140">
        <f t="shared" si="1"/>
        <v>13.5</v>
      </c>
    </row>
    <row r="134" ht="14.25" customHeight="1">
      <c r="A134" s="136" t="s">
        <v>424</v>
      </c>
      <c r="B134" s="137" t="s">
        <v>561</v>
      </c>
      <c r="C134" s="137" t="s">
        <v>24</v>
      </c>
      <c r="D134" s="138">
        <v>1000.0</v>
      </c>
      <c r="E134" s="139">
        <v>25000.0</v>
      </c>
      <c r="F134" s="140">
        <f t="shared" si="1"/>
        <v>25</v>
      </c>
    </row>
    <row r="135" ht="14.25" customHeight="1">
      <c r="A135" s="136" t="s">
        <v>424</v>
      </c>
      <c r="B135" s="137" t="s">
        <v>563</v>
      </c>
      <c r="C135" s="137" t="s">
        <v>24</v>
      </c>
      <c r="D135" s="138">
        <v>500.0</v>
      </c>
      <c r="E135" s="139">
        <v>50000.0</v>
      </c>
      <c r="F135" s="140">
        <f t="shared" si="1"/>
        <v>100</v>
      </c>
    </row>
    <row r="136" ht="14.25" customHeight="1">
      <c r="A136" s="136" t="s">
        <v>424</v>
      </c>
      <c r="B136" s="137" t="s">
        <v>352</v>
      </c>
      <c r="C136" s="137" t="s">
        <v>24</v>
      </c>
      <c r="D136" s="138">
        <v>1000.0</v>
      </c>
      <c r="E136" s="139">
        <v>140000.0</v>
      </c>
      <c r="F136" s="140">
        <f t="shared" si="1"/>
        <v>140</v>
      </c>
    </row>
    <row r="137" ht="14.25" customHeight="1">
      <c r="A137" s="136" t="s">
        <v>424</v>
      </c>
      <c r="B137" s="137" t="s">
        <v>564</v>
      </c>
      <c r="C137" s="137" t="s">
        <v>24</v>
      </c>
      <c r="D137" s="138">
        <v>1000.0</v>
      </c>
      <c r="E137" s="139">
        <v>13000.0</v>
      </c>
      <c r="F137" s="140">
        <f t="shared" si="1"/>
        <v>13</v>
      </c>
    </row>
    <row r="138" ht="14.25" customHeight="1">
      <c r="A138" s="136" t="s">
        <v>424</v>
      </c>
      <c r="B138" s="137" t="s">
        <v>566</v>
      </c>
      <c r="C138" s="137" t="s">
        <v>24</v>
      </c>
      <c r="D138" s="138">
        <v>800.0</v>
      </c>
      <c r="E138" s="139">
        <v>110000.0</v>
      </c>
      <c r="F138" s="140">
        <f t="shared" si="1"/>
        <v>137.5</v>
      </c>
    </row>
    <row r="139" ht="14.25" customHeight="1">
      <c r="A139" s="136" t="s">
        <v>424</v>
      </c>
      <c r="B139" s="137" t="s">
        <v>567</v>
      </c>
      <c r="C139" s="137" t="s">
        <v>24</v>
      </c>
      <c r="D139" s="138">
        <v>500.0</v>
      </c>
      <c r="E139" s="139">
        <v>48000.0</v>
      </c>
      <c r="F139" s="140">
        <f t="shared" si="1"/>
        <v>96</v>
      </c>
    </row>
    <row r="140" ht="14.25" customHeight="1">
      <c r="A140" s="136" t="s">
        <v>424</v>
      </c>
      <c r="B140" s="137" t="s">
        <v>307</v>
      </c>
      <c r="C140" s="137" t="s">
        <v>24</v>
      </c>
      <c r="D140" s="138">
        <v>2000.0</v>
      </c>
      <c r="E140" s="139">
        <v>230000.0</v>
      </c>
      <c r="F140" s="140">
        <f t="shared" si="1"/>
        <v>115</v>
      </c>
    </row>
    <row r="141" ht="14.25" customHeight="1">
      <c r="A141" s="136" t="s">
        <v>424</v>
      </c>
      <c r="B141" s="137" t="s">
        <v>568</v>
      </c>
      <c r="C141" s="137" t="s">
        <v>24</v>
      </c>
      <c r="D141" s="138">
        <v>1000.0</v>
      </c>
      <c r="E141" s="139">
        <v>20800.0</v>
      </c>
      <c r="F141" s="140">
        <f t="shared" si="1"/>
        <v>20.8</v>
      </c>
    </row>
    <row r="142" ht="14.25" customHeight="1">
      <c r="A142" s="136" t="s">
        <v>424</v>
      </c>
      <c r="B142" s="137" t="s">
        <v>569</v>
      </c>
      <c r="C142" s="137" t="s">
        <v>24</v>
      </c>
      <c r="D142" s="138">
        <v>10000.0</v>
      </c>
      <c r="E142" s="139">
        <v>340000.0</v>
      </c>
      <c r="F142" s="140">
        <f t="shared" si="1"/>
        <v>34</v>
      </c>
    </row>
    <row r="143" ht="14.25" customHeight="1">
      <c r="A143" s="136" t="s">
        <v>424</v>
      </c>
      <c r="B143" s="137" t="s">
        <v>570</v>
      </c>
      <c r="C143" s="137" t="s">
        <v>59</v>
      </c>
      <c r="D143" s="138">
        <v>1000.0</v>
      </c>
      <c r="E143" s="139">
        <v>100000.0</v>
      </c>
      <c r="F143" s="140">
        <f t="shared" si="1"/>
        <v>100</v>
      </c>
    </row>
    <row r="144" ht="14.25" customHeight="1">
      <c r="A144" s="136" t="s">
        <v>424</v>
      </c>
      <c r="B144" s="137" t="s">
        <v>21</v>
      </c>
      <c r="C144" s="137" t="s">
        <v>24</v>
      </c>
      <c r="D144" s="138">
        <v>1000.0</v>
      </c>
      <c r="E144" s="139">
        <v>40000.0</v>
      </c>
      <c r="F144" s="140">
        <f t="shared" si="1"/>
        <v>40</v>
      </c>
    </row>
    <row r="145" ht="14.25" customHeight="1">
      <c r="A145" s="136" t="s">
        <v>424</v>
      </c>
      <c r="B145" s="137" t="s">
        <v>30</v>
      </c>
      <c r="C145" s="137" t="s">
        <v>24</v>
      </c>
      <c r="D145" s="138">
        <v>1000.0</v>
      </c>
      <c r="E145" s="139">
        <v>30000.0</v>
      </c>
      <c r="F145" s="140">
        <f t="shared" si="1"/>
        <v>30</v>
      </c>
    </row>
    <row r="146" ht="14.25" customHeight="1">
      <c r="A146" s="136" t="s">
        <v>424</v>
      </c>
      <c r="B146" s="137" t="s">
        <v>47</v>
      </c>
      <c r="C146" s="137" t="s">
        <v>22</v>
      </c>
      <c r="D146" s="138">
        <v>100.0</v>
      </c>
      <c r="E146" s="139">
        <v>21792.0</v>
      </c>
      <c r="F146" s="140">
        <f t="shared" si="1"/>
        <v>217.92</v>
      </c>
    </row>
    <row r="147" ht="14.25" customHeight="1">
      <c r="A147" s="136" t="s">
        <v>424</v>
      </c>
      <c r="B147" s="137" t="s">
        <v>54</v>
      </c>
      <c r="C147" s="137" t="s">
        <v>24</v>
      </c>
      <c r="D147" s="138">
        <v>250.0</v>
      </c>
      <c r="E147" s="139">
        <v>22940.0</v>
      </c>
      <c r="F147" s="140">
        <f t="shared" si="1"/>
        <v>91.76</v>
      </c>
    </row>
    <row r="148" ht="14.25" customHeight="1">
      <c r="A148" s="136" t="s">
        <v>424</v>
      </c>
      <c r="B148" s="137" t="s">
        <v>40</v>
      </c>
      <c r="C148" s="137" t="s">
        <v>24</v>
      </c>
      <c r="D148" s="138"/>
      <c r="E148" s="139"/>
      <c r="F148" s="140">
        <f t="shared" si="1"/>
        <v>0</v>
      </c>
    </row>
    <row r="149" ht="14.25" customHeight="1">
      <c r="A149" s="136" t="s">
        <v>424</v>
      </c>
      <c r="B149" s="137" t="s">
        <v>117</v>
      </c>
      <c r="C149" s="137" t="s">
        <v>22</v>
      </c>
      <c r="D149" s="138">
        <v>12.0</v>
      </c>
      <c r="E149" s="139">
        <v>35000.0</v>
      </c>
      <c r="F149" s="140">
        <f t="shared" si="1"/>
        <v>2916.666667</v>
      </c>
    </row>
    <row r="150" ht="14.25" customHeight="1">
      <c r="A150" s="136" t="s">
        <v>424</v>
      </c>
      <c r="B150" s="137" t="s">
        <v>127</v>
      </c>
      <c r="C150" s="137" t="s">
        <v>24</v>
      </c>
      <c r="D150" s="138">
        <v>1000.0</v>
      </c>
      <c r="E150" s="139">
        <v>135000.0</v>
      </c>
      <c r="F150" s="140">
        <f t="shared" si="1"/>
        <v>135</v>
      </c>
    </row>
    <row r="151" ht="14.25" customHeight="1">
      <c r="A151" s="136" t="s">
        <v>424</v>
      </c>
      <c r="B151" s="137" t="s">
        <v>130</v>
      </c>
      <c r="C151" s="137" t="s">
        <v>24</v>
      </c>
      <c r="D151" s="138"/>
      <c r="E151" s="139">
        <v>4500.0</v>
      </c>
      <c r="F151" s="140">
        <f t="shared" si="1"/>
        <v>0</v>
      </c>
    </row>
    <row r="152" ht="14.25" customHeight="1">
      <c r="A152" s="136" t="s">
        <v>424</v>
      </c>
      <c r="B152" s="137" t="s">
        <v>147</v>
      </c>
      <c r="C152" s="137" t="s">
        <v>148</v>
      </c>
      <c r="D152" s="138">
        <v>270.0</v>
      </c>
      <c r="E152" s="139">
        <v>80800.0</v>
      </c>
      <c r="F152" s="140">
        <f t="shared" si="1"/>
        <v>299.2592593</v>
      </c>
    </row>
    <row r="153" ht="14.25" customHeight="1">
      <c r="A153" s="136" t="s">
        <v>424</v>
      </c>
      <c r="B153" s="137" t="s">
        <v>85</v>
      </c>
      <c r="C153" s="137" t="s">
        <v>24</v>
      </c>
      <c r="D153" s="138"/>
      <c r="E153" s="139"/>
      <c r="F153" s="140">
        <f t="shared" si="1"/>
        <v>0</v>
      </c>
    </row>
    <row r="154" ht="14.25" customHeight="1">
      <c r="A154" s="136" t="s">
        <v>424</v>
      </c>
      <c r="B154" s="137" t="s">
        <v>88</v>
      </c>
      <c r="C154" s="137" t="s">
        <v>24</v>
      </c>
      <c r="D154" s="138">
        <v>300.0</v>
      </c>
      <c r="E154" s="139">
        <v>105500.0</v>
      </c>
      <c r="F154" s="140">
        <f t="shared" si="1"/>
        <v>351.6666667</v>
      </c>
    </row>
    <row r="155" ht="14.25" customHeight="1">
      <c r="A155" s="136" t="s">
        <v>424</v>
      </c>
      <c r="B155" s="137" t="s">
        <v>577</v>
      </c>
      <c r="C155" s="137" t="s">
        <v>24</v>
      </c>
      <c r="D155" s="138">
        <v>2000.0</v>
      </c>
      <c r="E155" s="139">
        <v>182100.0</v>
      </c>
      <c r="F155" s="140">
        <f t="shared" si="1"/>
        <v>91.05</v>
      </c>
    </row>
    <row r="156" ht="14.25" customHeight="1">
      <c r="A156" s="136" t="s">
        <v>424</v>
      </c>
      <c r="B156" s="137" t="s">
        <v>329</v>
      </c>
      <c r="C156" s="137" t="s">
        <v>327</v>
      </c>
      <c r="D156" s="138">
        <v>1000.0</v>
      </c>
      <c r="E156" s="139">
        <v>20000.0</v>
      </c>
      <c r="F156" s="140">
        <f t="shared" si="1"/>
        <v>20</v>
      </c>
    </row>
    <row r="157" ht="14.25" customHeight="1">
      <c r="A157" s="136" t="s">
        <v>424</v>
      </c>
      <c r="B157" s="137" t="s">
        <v>337</v>
      </c>
      <c r="C157" s="137" t="s">
        <v>24</v>
      </c>
      <c r="D157" s="138"/>
      <c r="E157" s="139"/>
      <c r="F157" s="140">
        <f t="shared" si="1"/>
        <v>0</v>
      </c>
    </row>
    <row r="158" ht="14.25" customHeight="1">
      <c r="A158" s="136" t="s">
        <v>424</v>
      </c>
      <c r="B158" s="137" t="s">
        <v>351</v>
      </c>
      <c r="C158" s="137" t="s">
        <v>24</v>
      </c>
      <c r="D158" s="138">
        <v>90.0</v>
      </c>
      <c r="E158" s="139">
        <v>56500.0</v>
      </c>
      <c r="F158" s="140">
        <f t="shared" si="1"/>
        <v>627.7777778</v>
      </c>
    </row>
    <row r="159" ht="14.25" customHeight="1">
      <c r="A159" s="136" t="s">
        <v>424</v>
      </c>
      <c r="B159" s="137" t="s">
        <v>364</v>
      </c>
      <c r="C159" s="137" t="s">
        <v>24</v>
      </c>
      <c r="D159" s="138">
        <v>1000.0</v>
      </c>
      <c r="E159" s="139">
        <v>13000.0</v>
      </c>
      <c r="F159" s="140">
        <f t="shared" si="1"/>
        <v>13</v>
      </c>
    </row>
    <row r="160" ht="14.25" customHeight="1">
      <c r="A160" s="136" t="s">
        <v>424</v>
      </c>
      <c r="B160" s="137" t="s">
        <v>578</v>
      </c>
      <c r="C160" s="137" t="s">
        <v>22</v>
      </c>
      <c r="D160" s="138"/>
      <c r="E160" s="139"/>
      <c r="F160" s="140">
        <f t="shared" si="1"/>
        <v>0</v>
      </c>
    </row>
    <row r="161" ht="14.25" customHeight="1">
      <c r="A161" s="136" t="s">
        <v>424</v>
      </c>
      <c r="B161" s="137" t="s">
        <v>579</v>
      </c>
      <c r="C161" s="137" t="s">
        <v>24</v>
      </c>
      <c r="D161" s="138"/>
      <c r="E161" s="139"/>
      <c r="F161" s="140">
        <f t="shared" si="1"/>
        <v>0</v>
      </c>
    </row>
    <row r="162" ht="14.25" customHeight="1">
      <c r="A162" s="136" t="s">
        <v>424</v>
      </c>
      <c r="B162" s="137" t="s">
        <v>392</v>
      </c>
      <c r="C162" s="137" t="s">
        <v>24</v>
      </c>
      <c r="D162" s="138">
        <v>1000.0</v>
      </c>
      <c r="E162" s="139">
        <v>53000.0</v>
      </c>
      <c r="F162" s="140">
        <f t="shared" si="1"/>
        <v>53</v>
      </c>
    </row>
    <row r="163" ht="14.25" customHeight="1">
      <c r="A163" s="136" t="s">
        <v>424</v>
      </c>
      <c r="B163" s="137" t="s">
        <v>226</v>
      </c>
      <c r="C163" s="137"/>
      <c r="D163" s="138">
        <v>500.0</v>
      </c>
      <c r="E163" s="139">
        <v>66000.0</v>
      </c>
      <c r="F163" s="140">
        <f t="shared" si="1"/>
        <v>132</v>
      </c>
    </row>
    <row r="164" ht="14.25" customHeight="1">
      <c r="A164" s="136" t="s">
        <v>424</v>
      </c>
      <c r="B164" s="137" t="s">
        <v>341</v>
      </c>
      <c r="C164" s="137" t="s">
        <v>24</v>
      </c>
      <c r="D164" s="138"/>
      <c r="E164" s="139"/>
      <c r="F164" s="140">
        <f t="shared" si="1"/>
        <v>0</v>
      </c>
    </row>
    <row r="165" ht="14.25" customHeight="1">
      <c r="A165" s="136" t="s">
        <v>424</v>
      </c>
      <c r="B165" s="137" t="s">
        <v>343</v>
      </c>
      <c r="C165" s="137" t="s">
        <v>24</v>
      </c>
      <c r="D165" s="138">
        <v>5000.0</v>
      </c>
      <c r="E165" s="139">
        <v>206300.0</v>
      </c>
      <c r="F165" s="140">
        <f t="shared" si="1"/>
        <v>41.26</v>
      </c>
    </row>
    <row r="166" ht="14.25" customHeight="1">
      <c r="A166" s="136" t="s">
        <v>424</v>
      </c>
      <c r="B166" s="137" t="s">
        <v>581</v>
      </c>
      <c r="C166" s="137" t="s">
        <v>22</v>
      </c>
      <c r="D166" s="138"/>
      <c r="E166" s="139"/>
      <c r="F166" s="140">
        <f t="shared" si="1"/>
        <v>0</v>
      </c>
    </row>
    <row r="167" ht="14.25" customHeight="1">
      <c r="A167" s="136" t="s">
        <v>424</v>
      </c>
      <c r="B167" s="137" t="s">
        <v>159</v>
      </c>
      <c r="C167" s="137" t="s">
        <v>24</v>
      </c>
      <c r="D167" s="138"/>
      <c r="E167" s="139"/>
      <c r="F167" s="140">
        <f t="shared" si="1"/>
        <v>0</v>
      </c>
    </row>
    <row r="168" ht="14.25" customHeight="1">
      <c r="A168" s="136" t="s">
        <v>424</v>
      </c>
      <c r="B168" s="137" t="s">
        <v>373</v>
      </c>
      <c r="C168" s="137" t="s">
        <v>24</v>
      </c>
      <c r="D168" s="138">
        <v>200.0</v>
      </c>
      <c r="E168" s="139">
        <v>50900.0</v>
      </c>
      <c r="F168" s="140">
        <f t="shared" si="1"/>
        <v>254.5</v>
      </c>
    </row>
    <row r="169" ht="14.25" customHeight="1">
      <c r="A169" s="136" t="s">
        <v>424</v>
      </c>
      <c r="B169" s="137" t="s">
        <v>360</v>
      </c>
      <c r="C169" s="137" t="s">
        <v>24</v>
      </c>
      <c r="D169" s="138">
        <v>570.0</v>
      </c>
      <c r="E169" s="139">
        <v>16000.0</v>
      </c>
      <c r="F169" s="140">
        <f t="shared" si="1"/>
        <v>28.07017544</v>
      </c>
    </row>
    <row r="170" ht="14.25" customHeight="1">
      <c r="A170" s="136" t="s">
        <v>424</v>
      </c>
      <c r="B170" s="137" t="s">
        <v>365</v>
      </c>
      <c r="C170" s="137" t="s">
        <v>24</v>
      </c>
      <c r="D170" s="138">
        <v>500.0</v>
      </c>
      <c r="E170" s="139">
        <v>43000.0</v>
      </c>
      <c r="F170" s="140">
        <f t="shared" si="1"/>
        <v>86</v>
      </c>
    </row>
    <row r="171" ht="14.25" customHeight="1">
      <c r="A171" s="136" t="s">
        <v>424</v>
      </c>
      <c r="B171" s="137" t="s">
        <v>377</v>
      </c>
      <c r="C171" s="137" t="s">
        <v>24</v>
      </c>
      <c r="D171" s="138">
        <v>200.0</v>
      </c>
      <c r="E171" s="139">
        <v>50900.0</v>
      </c>
      <c r="F171" s="140">
        <f t="shared" si="1"/>
        <v>254.5</v>
      </c>
    </row>
    <row r="172" ht="14.25" customHeight="1">
      <c r="A172" s="136" t="s">
        <v>424</v>
      </c>
      <c r="B172" s="137" t="s">
        <v>380</v>
      </c>
      <c r="C172" s="137" t="s">
        <v>24</v>
      </c>
      <c r="D172" s="138"/>
      <c r="E172" s="139">
        <v>3000.0</v>
      </c>
      <c r="F172" s="140">
        <f t="shared" si="1"/>
        <v>0</v>
      </c>
    </row>
    <row r="173" ht="14.25" customHeight="1">
      <c r="A173" s="136" t="s">
        <v>424</v>
      </c>
      <c r="B173" s="137" t="s">
        <v>383</v>
      </c>
      <c r="C173" s="137" t="s">
        <v>385</v>
      </c>
      <c r="D173" s="138">
        <v>10.0</v>
      </c>
      <c r="E173" s="139">
        <v>36000.0</v>
      </c>
      <c r="F173" s="140">
        <f t="shared" si="1"/>
        <v>3600</v>
      </c>
    </row>
    <row r="174" ht="14.25" customHeight="1">
      <c r="A174" s="136" t="s">
        <v>424</v>
      </c>
      <c r="B174" s="137" t="s">
        <v>395</v>
      </c>
      <c r="C174" s="137" t="s">
        <v>59</v>
      </c>
      <c r="D174" s="138"/>
      <c r="E174" s="139">
        <v>55000.0</v>
      </c>
      <c r="F174" s="140">
        <f t="shared" si="1"/>
        <v>0</v>
      </c>
    </row>
    <row r="175" ht="14.25" customHeight="1">
      <c r="A175" s="136" t="s">
        <v>424</v>
      </c>
      <c r="B175" s="137" t="s">
        <v>408</v>
      </c>
      <c r="C175" s="137" t="s">
        <v>59</v>
      </c>
      <c r="D175" s="138"/>
      <c r="E175" s="139"/>
      <c r="F175" s="140">
        <f t="shared" si="1"/>
        <v>0</v>
      </c>
    </row>
    <row r="176" ht="14.25" customHeight="1">
      <c r="A176" s="136" t="s">
        <v>424</v>
      </c>
      <c r="B176" s="137" t="s">
        <v>414</v>
      </c>
      <c r="C176" s="137" t="s">
        <v>24</v>
      </c>
      <c r="D176" s="138">
        <v>250.0</v>
      </c>
      <c r="E176" s="139">
        <v>22500.0</v>
      </c>
      <c r="F176" s="140">
        <f t="shared" si="1"/>
        <v>90</v>
      </c>
    </row>
    <row r="177" ht="14.25" customHeight="1">
      <c r="A177" s="136" t="s">
        <v>424</v>
      </c>
      <c r="B177" s="137" t="s">
        <v>417</v>
      </c>
      <c r="C177" s="137" t="s">
        <v>24</v>
      </c>
      <c r="D177" s="138">
        <v>50.0</v>
      </c>
      <c r="E177" s="139">
        <v>50000.0</v>
      </c>
      <c r="F177" s="140">
        <f t="shared" si="1"/>
        <v>1000</v>
      </c>
    </row>
    <row r="178" ht="14.25" customHeight="1">
      <c r="A178" s="136" t="s">
        <v>424</v>
      </c>
      <c r="B178" s="137" t="s">
        <v>401</v>
      </c>
      <c r="C178" s="137" t="s">
        <v>24</v>
      </c>
      <c r="D178" s="138">
        <v>125.0</v>
      </c>
      <c r="E178" s="139">
        <v>49300.0</v>
      </c>
      <c r="F178" s="140">
        <f t="shared" si="1"/>
        <v>394.4</v>
      </c>
    </row>
    <row r="179" ht="14.25" customHeight="1">
      <c r="A179" s="136" t="s">
        <v>424</v>
      </c>
      <c r="B179" s="137" t="s">
        <v>103</v>
      </c>
      <c r="C179" s="137"/>
      <c r="D179" s="138">
        <v>1000.0</v>
      </c>
      <c r="E179" s="139">
        <v>35000.0</v>
      </c>
      <c r="F179" s="140">
        <f t="shared" si="1"/>
        <v>35</v>
      </c>
    </row>
    <row r="180" ht="14.25" customHeight="1">
      <c r="A180" s="136" t="s">
        <v>424</v>
      </c>
      <c r="B180" s="137" t="s">
        <v>405</v>
      </c>
      <c r="C180" s="137"/>
      <c r="D180" s="138">
        <v>1000.0</v>
      </c>
      <c r="E180" s="139">
        <v>69000.0</v>
      </c>
      <c r="F180" s="140">
        <f t="shared" si="1"/>
        <v>69</v>
      </c>
    </row>
    <row r="181" ht="14.25" customHeight="1">
      <c r="A181" s="136" t="s">
        <v>424</v>
      </c>
      <c r="B181" s="137" t="s">
        <v>586</v>
      </c>
      <c r="C181" s="137" t="s">
        <v>59</v>
      </c>
      <c r="D181" s="138"/>
      <c r="E181" s="139"/>
      <c r="F181" s="140">
        <f t="shared" si="1"/>
        <v>0</v>
      </c>
    </row>
    <row r="182" ht="14.25" customHeight="1">
      <c r="A182" s="136" t="s">
        <v>424</v>
      </c>
      <c r="B182" s="137" t="s">
        <v>485</v>
      </c>
      <c r="C182" s="137" t="s">
        <v>59</v>
      </c>
      <c r="D182" s="138"/>
      <c r="E182" s="139">
        <v>170000.0</v>
      </c>
      <c r="F182" s="140">
        <f t="shared" si="1"/>
        <v>0</v>
      </c>
    </row>
    <row r="183" ht="14.25" customHeight="1">
      <c r="A183" s="136" t="s">
        <v>424</v>
      </c>
      <c r="B183" s="137" t="s">
        <v>587</v>
      </c>
      <c r="C183" s="137" t="s">
        <v>59</v>
      </c>
      <c r="D183" s="138"/>
      <c r="E183" s="139"/>
      <c r="F183" s="140">
        <f t="shared" si="1"/>
        <v>0</v>
      </c>
    </row>
    <row r="184" ht="14.25" customHeight="1">
      <c r="A184" s="136" t="s">
        <v>424</v>
      </c>
      <c r="B184" s="137" t="s">
        <v>588</v>
      </c>
      <c r="C184" s="137" t="s">
        <v>59</v>
      </c>
      <c r="D184" s="138"/>
      <c r="E184" s="139"/>
      <c r="F184" s="140">
        <f t="shared" si="1"/>
        <v>0</v>
      </c>
    </row>
    <row r="185" ht="14.25" customHeight="1">
      <c r="A185" s="136" t="s">
        <v>424</v>
      </c>
      <c r="B185" s="137" t="s">
        <v>589</v>
      </c>
      <c r="C185" s="137" t="s">
        <v>24</v>
      </c>
      <c r="D185" s="138"/>
      <c r="E185" s="139"/>
      <c r="F185" s="140">
        <f t="shared" si="1"/>
        <v>0</v>
      </c>
    </row>
    <row r="186" ht="14.25" customHeight="1">
      <c r="A186" s="136" t="s">
        <v>424</v>
      </c>
      <c r="B186" s="137" t="s">
        <v>590</v>
      </c>
      <c r="C186" s="137" t="s">
        <v>59</v>
      </c>
      <c r="D186" s="138">
        <v>1000.0</v>
      </c>
      <c r="E186" s="139">
        <v>18315.0</v>
      </c>
      <c r="F186" s="140">
        <f t="shared" si="1"/>
        <v>18.315</v>
      </c>
    </row>
    <row r="187" ht="14.25" customHeight="1">
      <c r="A187" s="136" t="s">
        <v>424</v>
      </c>
      <c r="B187" s="137" t="s">
        <v>488</v>
      </c>
      <c r="C187" s="137" t="s">
        <v>59</v>
      </c>
      <c r="D187" s="138"/>
      <c r="E187" s="139"/>
      <c r="F187" s="140">
        <f t="shared" si="1"/>
        <v>0</v>
      </c>
    </row>
    <row r="188" ht="14.25" customHeight="1">
      <c r="A188" s="136"/>
      <c r="B188" s="137" t="s">
        <v>196</v>
      </c>
      <c r="C188" s="137"/>
      <c r="D188" s="138"/>
      <c r="E188" s="139"/>
      <c r="F188" s="140">
        <f t="shared" si="1"/>
        <v>0</v>
      </c>
    </row>
    <row r="189" ht="14.25" customHeight="1">
      <c r="A189" s="136" t="s">
        <v>424</v>
      </c>
      <c r="B189" s="211" t="s">
        <v>591</v>
      </c>
      <c r="C189" s="137" t="s">
        <v>22</v>
      </c>
      <c r="D189" s="138">
        <v>12.5</v>
      </c>
      <c r="E189" s="139">
        <v>295200.0</v>
      </c>
      <c r="F189" s="140">
        <f t="shared" si="1"/>
        <v>23616</v>
      </c>
    </row>
    <row r="190" ht="14.25" customHeight="1">
      <c r="A190" s="136" t="s">
        <v>424</v>
      </c>
      <c r="B190" s="211" t="s">
        <v>592</v>
      </c>
      <c r="C190" s="137" t="s">
        <v>22</v>
      </c>
      <c r="D190" s="138">
        <v>12.5</v>
      </c>
      <c r="E190" s="139">
        <v>188600.0</v>
      </c>
      <c r="F190" s="140">
        <f t="shared" si="1"/>
        <v>15088</v>
      </c>
    </row>
    <row r="191" ht="14.25" customHeight="1">
      <c r="A191" s="136"/>
      <c r="B191" s="137"/>
      <c r="C191" s="137"/>
      <c r="D191" s="138"/>
      <c r="E191" s="139"/>
      <c r="F191" s="140"/>
    </row>
    <row r="192" ht="14.25" customHeight="1">
      <c r="A192" s="136"/>
      <c r="B192" s="137"/>
      <c r="C192" s="137"/>
      <c r="D192" s="138"/>
      <c r="E192" s="139"/>
      <c r="F192" s="140"/>
    </row>
    <row r="193" ht="14.25" customHeight="1">
      <c r="A193" s="136"/>
      <c r="B193" s="137"/>
      <c r="C193" s="137"/>
      <c r="D193" s="138"/>
      <c r="E193" s="139"/>
      <c r="F193" s="140"/>
    </row>
    <row r="194" ht="14.25" customHeight="1">
      <c r="A194" s="136"/>
      <c r="B194" s="137"/>
      <c r="C194" s="137"/>
      <c r="D194" s="138"/>
      <c r="E194" s="139"/>
      <c r="F194" s="140"/>
    </row>
    <row r="195" ht="14.25" customHeight="1">
      <c r="A195" s="136"/>
      <c r="B195" s="137"/>
      <c r="C195" s="137"/>
      <c r="D195" s="138"/>
      <c r="E195" s="139"/>
      <c r="F195" s="140"/>
    </row>
    <row r="196" ht="14.25" customHeight="1">
      <c r="A196" s="136"/>
      <c r="B196" s="137"/>
      <c r="C196" s="137"/>
      <c r="D196" s="138"/>
      <c r="E196" s="139"/>
      <c r="F196" s="140"/>
    </row>
    <row r="197" ht="14.25" customHeight="1">
      <c r="A197" s="136"/>
      <c r="B197" s="137"/>
      <c r="C197" s="137"/>
      <c r="D197" s="138"/>
      <c r="E197" s="139"/>
      <c r="F197" s="140"/>
    </row>
    <row r="198" ht="14.25" customHeight="1">
      <c r="A198" s="136"/>
      <c r="B198" s="137"/>
      <c r="C198" s="137"/>
      <c r="D198" s="138"/>
      <c r="E198" s="139"/>
      <c r="F198" s="140"/>
    </row>
    <row r="199" ht="14.25" customHeight="1">
      <c r="A199" s="136"/>
      <c r="B199" s="137"/>
      <c r="C199" s="137"/>
      <c r="D199" s="138"/>
      <c r="E199" s="139"/>
      <c r="F199" s="140"/>
    </row>
    <row r="200" ht="14.25" customHeight="1">
      <c r="A200" s="136"/>
      <c r="B200" s="137"/>
      <c r="C200" s="137"/>
      <c r="D200" s="138"/>
      <c r="E200" s="139"/>
      <c r="F200" s="140"/>
    </row>
    <row r="201" ht="14.25" customHeight="1">
      <c r="A201" s="136"/>
      <c r="B201" s="137"/>
      <c r="C201" s="137"/>
      <c r="D201" s="138"/>
      <c r="E201" s="139"/>
      <c r="F201" s="140"/>
    </row>
    <row r="202" ht="14.25" customHeight="1">
      <c r="A202" s="136"/>
      <c r="B202" s="137"/>
      <c r="C202" s="137"/>
      <c r="D202" s="138"/>
      <c r="E202" s="139"/>
      <c r="F202" s="140"/>
    </row>
    <row r="203" ht="14.25" customHeight="1">
      <c r="A203" s="136"/>
      <c r="B203" s="137"/>
      <c r="C203" s="137"/>
      <c r="D203" s="138"/>
      <c r="E203" s="139"/>
      <c r="F203" s="140"/>
    </row>
    <row r="204" ht="14.25" customHeight="1">
      <c r="A204" s="136"/>
      <c r="B204" s="137"/>
      <c r="C204" s="137"/>
      <c r="D204" s="138"/>
      <c r="E204" s="139"/>
      <c r="F204" s="140"/>
    </row>
    <row r="205" ht="14.25" customHeight="1">
      <c r="A205" s="136"/>
      <c r="B205" s="137"/>
      <c r="C205" s="137"/>
      <c r="D205" s="138"/>
      <c r="E205" s="139"/>
      <c r="F205" s="140"/>
    </row>
    <row r="206" ht="14.25" customHeight="1">
      <c r="A206" s="136" t="s">
        <v>596</v>
      </c>
      <c r="B206" s="137" t="s">
        <v>19</v>
      </c>
      <c r="C206" s="137" t="s">
        <v>598</v>
      </c>
      <c r="D206" s="137">
        <v>1.0</v>
      </c>
      <c r="E206" s="212">
        <f>'WIP FOOD'!$B$3</f>
        <v>598.22</v>
      </c>
      <c r="F206" s="140">
        <f t="shared" ref="F206:F270" si="2">E206</f>
        <v>598.22</v>
      </c>
    </row>
    <row r="207" ht="14.25" customHeight="1">
      <c r="A207" s="136" t="s">
        <v>596</v>
      </c>
      <c r="B207" s="137" t="s">
        <v>122</v>
      </c>
      <c r="C207" s="137" t="s">
        <v>598</v>
      </c>
      <c r="D207" s="137">
        <v>1.0</v>
      </c>
      <c r="E207" s="212">
        <f>'WIP FOOD'!$B$17</f>
        <v>2346.198413</v>
      </c>
      <c r="F207" s="140">
        <f t="shared" si="2"/>
        <v>2346.198413</v>
      </c>
    </row>
    <row r="208" ht="14.25" customHeight="1">
      <c r="A208" s="136" t="s">
        <v>596</v>
      </c>
      <c r="B208" s="137" t="s">
        <v>20</v>
      </c>
      <c r="C208" s="137" t="s">
        <v>598</v>
      </c>
      <c r="D208" s="137">
        <v>1.0</v>
      </c>
      <c r="E208" s="212">
        <f>'WIP FOOD'!$B$28</f>
        <v>546.0819048</v>
      </c>
      <c r="F208" s="140">
        <f t="shared" si="2"/>
        <v>546.0819048</v>
      </c>
    </row>
    <row r="209" ht="14.25" customHeight="1">
      <c r="A209" s="136" t="s">
        <v>596</v>
      </c>
      <c r="B209" s="137" t="s">
        <v>180</v>
      </c>
      <c r="C209" s="137" t="s">
        <v>598</v>
      </c>
      <c r="D209" s="137">
        <v>1.0</v>
      </c>
      <c r="E209" s="212">
        <f>'WIP FOOD'!$B$41</f>
        <v>1405.043915</v>
      </c>
      <c r="F209" s="140">
        <f t="shared" si="2"/>
        <v>1405.043915</v>
      </c>
    </row>
    <row r="210" ht="14.25" customHeight="1">
      <c r="A210" s="136"/>
      <c r="B210" s="137"/>
      <c r="C210" s="137"/>
      <c r="D210" s="137"/>
      <c r="E210" s="212"/>
      <c r="F210" s="140" t="str">
        <f t="shared" si="2"/>
        <v/>
      </c>
    </row>
    <row r="211" ht="14.25" customHeight="1">
      <c r="A211" s="136" t="s">
        <v>596</v>
      </c>
      <c r="B211" s="137" t="s">
        <v>320</v>
      </c>
      <c r="C211" s="137" t="s">
        <v>598</v>
      </c>
      <c r="D211" s="137">
        <v>1.0</v>
      </c>
      <c r="E211" s="212">
        <f>'WIP FOOD'!$B$62</f>
        <v>89.06203572</v>
      </c>
      <c r="F211" s="140">
        <f t="shared" si="2"/>
        <v>89.06203572</v>
      </c>
    </row>
    <row r="212" ht="14.25" customHeight="1">
      <c r="A212" s="136" t="s">
        <v>596</v>
      </c>
      <c r="B212" s="137" t="s">
        <v>349</v>
      </c>
      <c r="C212" s="137" t="s">
        <v>598</v>
      </c>
      <c r="D212" s="137">
        <v>1.0</v>
      </c>
      <c r="E212" s="212">
        <f>'WIP FOOD'!$B$72</f>
        <v>120.1185762</v>
      </c>
      <c r="F212" s="140">
        <f t="shared" si="2"/>
        <v>120.1185762</v>
      </c>
    </row>
    <row r="213" ht="14.25" customHeight="1">
      <c r="A213" s="136" t="s">
        <v>596</v>
      </c>
      <c r="B213" s="137" t="s">
        <v>603</v>
      </c>
      <c r="C213" s="137" t="s">
        <v>598</v>
      </c>
      <c r="D213" s="137">
        <v>1.0</v>
      </c>
      <c r="E213" s="212">
        <f>'WIP FOOD'!$B$88</f>
        <v>141.4158304</v>
      </c>
      <c r="F213" s="140">
        <f t="shared" si="2"/>
        <v>141.4158304</v>
      </c>
    </row>
    <row r="214" ht="14.25" customHeight="1">
      <c r="A214" s="136" t="s">
        <v>596</v>
      </c>
      <c r="B214" s="137" t="s">
        <v>258</v>
      </c>
      <c r="C214" s="137" t="s">
        <v>598</v>
      </c>
      <c r="D214" s="137">
        <v>1.0</v>
      </c>
      <c r="E214" s="212">
        <f>'WIP FOOD'!$B$99</f>
        <v>108.4579152</v>
      </c>
      <c r="F214" s="140">
        <f t="shared" si="2"/>
        <v>108.4579152</v>
      </c>
    </row>
    <row r="215" ht="14.25" customHeight="1">
      <c r="A215" s="136" t="s">
        <v>596</v>
      </c>
      <c r="B215" s="137" t="s">
        <v>223</v>
      </c>
      <c r="C215" s="137" t="s">
        <v>598</v>
      </c>
      <c r="D215" s="137">
        <v>1.0</v>
      </c>
      <c r="E215" s="212">
        <f>'WIP FOOD'!$B$109</f>
        <v>76.64166865</v>
      </c>
      <c r="F215" s="140">
        <f t="shared" si="2"/>
        <v>76.64166865</v>
      </c>
    </row>
    <row r="216" ht="14.25" customHeight="1">
      <c r="A216" s="136" t="s">
        <v>596</v>
      </c>
      <c r="B216" s="137" t="s">
        <v>58</v>
      </c>
      <c r="C216" s="137" t="s">
        <v>598</v>
      </c>
      <c r="D216" s="137">
        <v>1.0</v>
      </c>
      <c r="E216" s="212">
        <f>'WIP FOOD'!$B$119</f>
        <v>13.9768795</v>
      </c>
      <c r="F216" s="140">
        <f t="shared" si="2"/>
        <v>13.9768795</v>
      </c>
    </row>
    <row r="217" ht="14.25" customHeight="1">
      <c r="A217" s="136" t="s">
        <v>596</v>
      </c>
      <c r="B217" s="137" t="s">
        <v>604</v>
      </c>
      <c r="C217" s="137" t="s">
        <v>598</v>
      </c>
      <c r="D217" s="137">
        <v>1.0</v>
      </c>
      <c r="E217" s="212">
        <f>'WIP FOOD'!$B$130</f>
        <v>9.39484127</v>
      </c>
      <c r="F217" s="140">
        <f t="shared" si="2"/>
        <v>9.39484127</v>
      </c>
    </row>
    <row r="218" ht="14.25" customHeight="1">
      <c r="A218" s="136" t="s">
        <v>596</v>
      </c>
      <c r="B218" s="137" t="s">
        <v>605</v>
      </c>
      <c r="C218" s="137" t="s">
        <v>598</v>
      </c>
      <c r="D218" s="137">
        <v>1.0</v>
      </c>
      <c r="E218" s="212">
        <f>'WIP FOOD'!$B$140</f>
        <v>52.90238682</v>
      </c>
      <c r="F218" s="140">
        <f t="shared" si="2"/>
        <v>52.90238682</v>
      </c>
    </row>
    <row r="219" ht="14.25" customHeight="1">
      <c r="A219" s="136" t="s">
        <v>596</v>
      </c>
      <c r="B219" s="137" t="s">
        <v>190</v>
      </c>
      <c r="C219" s="137" t="s">
        <v>598</v>
      </c>
      <c r="D219" s="137">
        <v>1.0</v>
      </c>
      <c r="E219" s="212">
        <f>'WIP FOOD'!$B$150</f>
        <v>1131.091447</v>
      </c>
      <c r="F219" s="140">
        <f t="shared" si="2"/>
        <v>1131.091447</v>
      </c>
    </row>
    <row r="220" ht="14.25" customHeight="1">
      <c r="A220" s="136" t="s">
        <v>596</v>
      </c>
      <c r="B220" s="137" t="s">
        <v>387</v>
      </c>
      <c r="C220" s="137" t="s">
        <v>598</v>
      </c>
      <c r="D220" s="137">
        <v>1.0</v>
      </c>
      <c r="E220" s="212">
        <f>'WIP FOOD'!$B$166</f>
        <v>20.20893877</v>
      </c>
      <c r="F220" s="140">
        <f t="shared" si="2"/>
        <v>20.20893877</v>
      </c>
    </row>
    <row r="221" ht="14.25" customHeight="1">
      <c r="A221" s="136" t="s">
        <v>596</v>
      </c>
      <c r="B221" s="137" t="s">
        <v>355</v>
      </c>
      <c r="C221" s="137" t="s">
        <v>598</v>
      </c>
      <c r="D221" s="137">
        <v>1.0</v>
      </c>
      <c r="E221" s="212">
        <f>'WIP FOOD'!$B$180</f>
        <v>10969.45476</v>
      </c>
      <c r="F221" s="140">
        <f t="shared" si="2"/>
        <v>10969.45476</v>
      </c>
    </row>
    <row r="222" ht="14.25" customHeight="1">
      <c r="A222" s="136" t="s">
        <v>596</v>
      </c>
      <c r="B222" s="137" t="s">
        <v>278</v>
      </c>
      <c r="C222" s="137" t="s">
        <v>598</v>
      </c>
      <c r="D222" s="137">
        <v>1.0</v>
      </c>
      <c r="E222" s="212">
        <f>'WIP FOOD'!$B$191</f>
        <v>10658.2619</v>
      </c>
      <c r="F222" s="140">
        <f t="shared" si="2"/>
        <v>10658.2619</v>
      </c>
    </row>
    <row r="223" ht="14.25" customHeight="1">
      <c r="A223" s="136" t="s">
        <v>596</v>
      </c>
      <c r="B223" s="137" t="s">
        <v>216</v>
      </c>
      <c r="C223" s="137" t="s">
        <v>598</v>
      </c>
      <c r="D223" s="137">
        <v>1.0</v>
      </c>
      <c r="E223" s="212">
        <f>'WIP FOOD'!$B$207</f>
        <v>45.45739175</v>
      </c>
      <c r="F223" s="140">
        <f t="shared" si="2"/>
        <v>45.45739175</v>
      </c>
    </row>
    <row r="224" ht="14.25" customHeight="1">
      <c r="A224" s="136" t="s">
        <v>596</v>
      </c>
      <c r="B224" s="137" t="s">
        <v>53</v>
      </c>
      <c r="C224" s="137" t="s">
        <v>598</v>
      </c>
      <c r="D224" s="137">
        <v>1.0</v>
      </c>
      <c r="E224" s="212">
        <f>'WIP FOOD'!$B$218</f>
        <v>362.7209213</v>
      </c>
      <c r="F224" s="140">
        <f t="shared" si="2"/>
        <v>362.7209213</v>
      </c>
    </row>
    <row r="225" ht="14.25" customHeight="1">
      <c r="A225" s="136" t="s">
        <v>596</v>
      </c>
      <c r="B225" s="137" t="s">
        <v>29</v>
      </c>
      <c r="C225" s="137" t="s">
        <v>598</v>
      </c>
      <c r="D225" s="137">
        <v>1.0</v>
      </c>
      <c r="E225" s="212">
        <f>'WIP FOOD'!$B$229</f>
        <v>168.975</v>
      </c>
      <c r="F225" s="140">
        <f t="shared" si="2"/>
        <v>168.975</v>
      </c>
    </row>
    <row r="226" ht="14.25" customHeight="1">
      <c r="A226" s="136" t="s">
        <v>596</v>
      </c>
      <c r="B226" s="137" t="s">
        <v>606</v>
      </c>
      <c r="C226" s="137" t="s">
        <v>598</v>
      </c>
      <c r="D226" s="137">
        <v>1.0</v>
      </c>
      <c r="E226" s="212">
        <f>'WIP FOOD'!$B$239</f>
        <v>69.4806067</v>
      </c>
      <c r="F226" s="140">
        <f t="shared" si="2"/>
        <v>69.4806067</v>
      </c>
    </row>
    <row r="227" ht="14.25" customHeight="1">
      <c r="A227" s="136" t="s">
        <v>596</v>
      </c>
      <c r="B227" s="137" t="s">
        <v>207</v>
      </c>
      <c r="C227" s="137" t="s">
        <v>598</v>
      </c>
      <c r="D227" s="137">
        <v>1.0</v>
      </c>
      <c r="E227" s="212">
        <f>'WIP FOOD'!$B$250</f>
        <v>72.49030335</v>
      </c>
      <c r="F227" s="140">
        <f t="shared" si="2"/>
        <v>72.49030335</v>
      </c>
    </row>
    <row r="228" ht="14.25" customHeight="1">
      <c r="A228" s="136" t="s">
        <v>596</v>
      </c>
      <c r="B228" s="137" t="s">
        <v>241</v>
      </c>
      <c r="C228" s="137" t="s">
        <v>598</v>
      </c>
      <c r="D228" s="137">
        <v>1.0</v>
      </c>
      <c r="E228" s="212">
        <f>'WIP FOOD'!$B$260</f>
        <v>111.3971155</v>
      </c>
      <c r="F228" s="140">
        <f t="shared" si="2"/>
        <v>111.3971155</v>
      </c>
    </row>
    <row r="229" ht="14.25" customHeight="1">
      <c r="A229" s="136" t="s">
        <v>596</v>
      </c>
      <c r="B229" s="137" t="s">
        <v>607</v>
      </c>
      <c r="C229" s="137" t="s">
        <v>598</v>
      </c>
      <c r="D229" s="137">
        <v>1.0</v>
      </c>
      <c r="E229" s="212">
        <f>'WIP FOOD'!$B$270</f>
        <v>80.93852793</v>
      </c>
      <c r="F229" s="140">
        <f t="shared" si="2"/>
        <v>80.93852793</v>
      </c>
    </row>
    <row r="230" ht="14.25" customHeight="1">
      <c r="A230" s="136" t="s">
        <v>596</v>
      </c>
      <c r="B230" s="137" t="s">
        <v>228</v>
      </c>
      <c r="C230" s="137" t="s">
        <v>598</v>
      </c>
      <c r="D230" s="137">
        <v>1.0</v>
      </c>
      <c r="E230" s="212">
        <f>'WIP FOOD'!$B$288</f>
        <v>29.98463198</v>
      </c>
      <c r="F230" s="140">
        <f t="shared" si="2"/>
        <v>29.98463198</v>
      </c>
    </row>
    <row r="231" ht="14.25" customHeight="1">
      <c r="A231" s="136" t="s">
        <v>596</v>
      </c>
      <c r="B231" s="137" t="s">
        <v>409</v>
      </c>
      <c r="C231" s="137" t="s">
        <v>598</v>
      </c>
      <c r="D231" s="137">
        <v>1.0</v>
      </c>
      <c r="E231" s="212">
        <f>'WIP FOOD'!$B$298</f>
        <v>86.80870561</v>
      </c>
      <c r="F231" s="140">
        <f t="shared" si="2"/>
        <v>86.80870561</v>
      </c>
    </row>
    <row r="232" ht="14.25" customHeight="1">
      <c r="A232" s="136" t="s">
        <v>596</v>
      </c>
      <c r="B232" s="137" t="s">
        <v>609</v>
      </c>
      <c r="C232" s="137" t="s">
        <v>598</v>
      </c>
      <c r="D232" s="137">
        <v>1.0</v>
      </c>
      <c r="E232" s="212">
        <f>'WIP FOOD'!$B$308</f>
        <v>20.68320648</v>
      </c>
      <c r="F232" s="140">
        <f t="shared" si="2"/>
        <v>20.68320648</v>
      </c>
    </row>
    <row r="233" ht="14.25" customHeight="1">
      <c r="A233" s="136" t="s">
        <v>596</v>
      </c>
      <c r="B233" s="137" t="s">
        <v>610</v>
      </c>
      <c r="C233" s="137" t="s">
        <v>598</v>
      </c>
      <c r="D233" s="137">
        <v>1.0</v>
      </c>
      <c r="E233" s="212">
        <f>'WIP FOOD'!$B$318</f>
        <v>66.75190627</v>
      </c>
      <c r="F233" s="140">
        <f t="shared" si="2"/>
        <v>66.75190627</v>
      </c>
    </row>
    <row r="234" ht="14.25" customHeight="1">
      <c r="A234" s="136" t="s">
        <v>596</v>
      </c>
      <c r="B234" s="137" t="s">
        <v>194</v>
      </c>
      <c r="C234" s="137" t="s">
        <v>598</v>
      </c>
      <c r="D234" s="137">
        <v>1.0</v>
      </c>
      <c r="E234" s="212">
        <f>'WIP FOOD'!$B$329</f>
        <v>68.9389297</v>
      </c>
      <c r="F234" s="140">
        <f t="shared" si="2"/>
        <v>68.9389297</v>
      </c>
    </row>
    <row r="235" ht="14.25" customHeight="1">
      <c r="A235" s="136" t="s">
        <v>596</v>
      </c>
      <c r="B235" s="137" t="s">
        <v>230</v>
      </c>
      <c r="C235" s="137" t="s">
        <v>598</v>
      </c>
      <c r="D235" s="137">
        <v>1.0</v>
      </c>
      <c r="E235" s="212">
        <f>'WIP FOOD'!$B$339</f>
        <v>101.9616028</v>
      </c>
      <c r="F235" s="140">
        <f t="shared" si="2"/>
        <v>101.9616028</v>
      </c>
    </row>
    <row r="236" ht="14.25" customHeight="1">
      <c r="A236" s="136" t="s">
        <v>596</v>
      </c>
      <c r="B236" s="137" t="s">
        <v>410</v>
      </c>
      <c r="C236" s="137" t="s">
        <v>598</v>
      </c>
      <c r="D236" s="137">
        <v>1.0</v>
      </c>
      <c r="E236" s="212">
        <f>'WIP FOOD'!$B$349</f>
        <v>119.3736412</v>
      </c>
      <c r="F236" s="140">
        <f t="shared" si="2"/>
        <v>119.3736412</v>
      </c>
    </row>
    <row r="237" ht="14.25" customHeight="1">
      <c r="A237" s="136" t="s">
        <v>596</v>
      </c>
      <c r="B237" s="137" t="s">
        <v>79</v>
      </c>
      <c r="C237" s="137" t="s">
        <v>598</v>
      </c>
      <c r="D237" s="137">
        <v>1.0</v>
      </c>
      <c r="E237" s="212">
        <f>'WIP FOOD'!$B$362</f>
        <v>163.4154588</v>
      </c>
      <c r="F237" s="140">
        <f t="shared" si="2"/>
        <v>163.4154588</v>
      </c>
    </row>
    <row r="238" ht="14.25" customHeight="1">
      <c r="A238" s="136" t="s">
        <v>596</v>
      </c>
      <c r="B238" s="137" t="s">
        <v>77</v>
      </c>
      <c r="C238" s="137" t="s">
        <v>598</v>
      </c>
      <c r="D238" s="137">
        <v>1.0</v>
      </c>
      <c r="E238" s="212">
        <f>'WIP FOOD'!$B$372</f>
        <v>94.38826313</v>
      </c>
      <c r="F238" s="140">
        <f t="shared" si="2"/>
        <v>94.38826313</v>
      </c>
    </row>
    <row r="239" ht="14.25" customHeight="1">
      <c r="A239" s="136" t="s">
        <v>596</v>
      </c>
      <c r="B239" s="137" t="s">
        <v>362</v>
      </c>
      <c r="C239" s="137" t="s">
        <v>598</v>
      </c>
      <c r="D239" s="137">
        <v>1.0</v>
      </c>
      <c r="E239" s="212">
        <f>'WIP FOOD'!$B$391</f>
        <v>8.738938053</v>
      </c>
      <c r="F239" s="140">
        <f t="shared" si="2"/>
        <v>8.738938053</v>
      </c>
    </row>
    <row r="240" ht="14.25" customHeight="1">
      <c r="A240" s="136" t="s">
        <v>596</v>
      </c>
      <c r="B240" s="137" t="s">
        <v>221</v>
      </c>
      <c r="C240" s="137" t="s">
        <v>598</v>
      </c>
      <c r="D240" s="137">
        <v>1.0</v>
      </c>
      <c r="E240" s="212">
        <f>'WIP FOOD'!$B$401</f>
        <v>41.78322519</v>
      </c>
      <c r="F240" s="140">
        <f t="shared" si="2"/>
        <v>41.78322519</v>
      </c>
    </row>
    <row r="241" ht="14.25" customHeight="1">
      <c r="A241" s="136" t="s">
        <v>596</v>
      </c>
      <c r="B241" s="137" t="s">
        <v>215</v>
      </c>
      <c r="C241" s="137" t="s">
        <v>598</v>
      </c>
      <c r="D241" s="137">
        <v>1.0</v>
      </c>
      <c r="E241" s="212">
        <f>'WIP FOOD'!$B$411</f>
        <v>37.76748971</v>
      </c>
      <c r="F241" s="140">
        <f t="shared" si="2"/>
        <v>37.76748971</v>
      </c>
    </row>
    <row r="242" ht="14.25" customHeight="1">
      <c r="A242" s="136" t="s">
        <v>596</v>
      </c>
      <c r="B242" s="137" t="s">
        <v>211</v>
      </c>
      <c r="C242" s="137" t="s">
        <v>598</v>
      </c>
      <c r="D242" s="137">
        <v>1.0</v>
      </c>
      <c r="E242" s="212">
        <f>'WIP FOOD'!$B$421</f>
        <v>811.3636364</v>
      </c>
      <c r="F242" s="140">
        <f t="shared" si="2"/>
        <v>811.3636364</v>
      </c>
    </row>
    <row r="243" ht="14.25" customHeight="1">
      <c r="A243" s="136" t="s">
        <v>596</v>
      </c>
      <c r="B243" s="137" t="s">
        <v>612</v>
      </c>
      <c r="C243" s="137" t="s">
        <v>598</v>
      </c>
      <c r="D243" s="137">
        <v>1.0</v>
      </c>
      <c r="E243" s="212">
        <f>'WIP FOOD'!$B$431</f>
        <v>47.30882762</v>
      </c>
      <c r="F243" s="140">
        <f t="shared" si="2"/>
        <v>47.30882762</v>
      </c>
    </row>
    <row r="244" ht="14.25" customHeight="1">
      <c r="A244" s="136" t="s">
        <v>596</v>
      </c>
      <c r="B244" s="137" t="s">
        <v>613</v>
      </c>
      <c r="C244" s="137" t="s">
        <v>598</v>
      </c>
      <c r="D244" s="137">
        <v>1.0</v>
      </c>
      <c r="E244" s="212">
        <f>'WIP FOOD'!$B$441</f>
        <v>20.32863604</v>
      </c>
      <c r="F244" s="140">
        <f t="shared" si="2"/>
        <v>20.32863604</v>
      </c>
    </row>
    <row r="245" ht="14.25" customHeight="1">
      <c r="A245" s="136" t="s">
        <v>596</v>
      </c>
      <c r="B245" s="137" t="s">
        <v>35</v>
      </c>
      <c r="C245" s="137" t="s">
        <v>598</v>
      </c>
      <c r="D245" s="137">
        <v>1.0</v>
      </c>
      <c r="E245" s="212">
        <f>'WIP FOOD'!$B$452</f>
        <v>74.82275545</v>
      </c>
      <c r="F245" s="140">
        <f t="shared" si="2"/>
        <v>74.82275545</v>
      </c>
    </row>
    <row r="246" ht="14.25" customHeight="1">
      <c r="A246" s="136" t="s">
        <v>596</v>
      </c>
      <c r="B246" s="137" t="s">
        <v>615</v>
      </c>
      <c r="C246" s="137" t="s">
        <v>598</v>
      </c>
      <c r="D246" s="137">
        <v>1.0</v>
      </c>
      <c r="E246" s="212">
        <f>'WIP FOOD'!$B$462</f>
        <v>41.60358023</v>
      </c>
      <c r="F246" s="140">
        <f t="shared" si="2"/>
        <v>41.60358023</v>
      </c>
    </row>
    <row r="247" ht="14.25" customHeight="1">
      <c r="A247" s="136" t="s">
        <v>596</v>
      </c>
      <c r="B247" s="137" t="s">
        <v>305</v>
      </c>
      <c r="C247" s="137" t="s">
        <v>598</v>
      </c>
      <c r="D247" s="137">
        <v>1.0</v>
      </c>
      <c r="E247" s="212">
        <f>'WIP FOOD'!$B$472</f>
        <v>1099.355263</v>
      </c>
      <c r="F247" s="140">
        <f t="shared" si="2"/>
        <v>1099.355263</v>
      </c>
    </row>
    <row r="248" ht="14.25" customHeight="1">
      <c r="A248" s="136" t="s">
        <v>596</v>
      </c>
      <c r="B248" s="137" t="s">
        <v>616</v>
      </c>
      <c r="C248" s="137" t="s">
        <v>598</v>
      </c>
      <c r="D248" s="137">
        <v>1.0</v>
      </c>
      <c r="E248" s="212">
        <f>'WIP FOOD'!$B$485</f>
        <v>53.41776427</v>
      </c>
      <c r="F248" s="140">
        <f t="shared" si="2"/>
        <v>53.41776427</v>
      </c>
    </row>
    <row r="249" ht="14.25" customHeight="1">
      <c r="A249" s="136" t="s">
        <v>596</v>
      </c>
      <c r="B249" s="137" t="s">
        <v>416</v>
      </c>
      <c r="C249" s="137" t="s">
        <v>598</v>
      </c>
      <c r="D249" s="137">
        <v>1.0</v>
      </c>
      <c r="E249" s="212">
        <f>'WIP FOOD'!$B$498</f>
        <v>26.06510152</v>
      </c>
      <c r="F249" s="140">
        <f t="shared" si="2"/>
        <v>26.06510152</v>
      </c>
    </row>
    <row r="250" ht="14.25" customHeight="1">
      <c r="A250" s="136" t="s">
        <v>596</v>
      </c>
      <c r="B250" s="137" t="s">
        <v>386</v>
      </c>
      <c r="C250" s="137" t="s">
        <v>598</v>
      </c>
      <c r="D250" s="137">
        <v>1.0</v>
      </c>
      <c r="E250" s="212">
        <f>'WIP FOOD'!$B$508</f>
        <v>2004.902862</v>
      </c>
      <c r="F250" s="140">
        <f t="shared" si="2"/>
        <v>2004.902862</v>
      </c>
    </row>
    <row r="251" ht="14.25" customHeight="1">
      <c r="A251" s="136" t="s">
        <v>596</v>
      </c>
      <c r="B251" s="137" t="s">
        <v>620</v>
      </c>
      <c r="C251" s="137" t="s">
        <v>598</v>
      </c>
      <c r="D251" s="137">
        <v>1.0</v>
      </c>
      <c r="E251" s="212">
        <f>'WIP FOOD'!$B$521</f>
        <v>39.41666667</v>
      </c>
      <c r="F251" s="140">
        <f t="shared" si="2"/>
        <v>39.41666667</v>
      </c>
    </row>
    <row r="252" ht="14.25" customHeight="1">
      <c r="A252" s="136" t="s">
        <v>596</v>
      </c>
      <c r="B252" s="137" t="s">
        <v>218</v>
      </c>
      <c r="C252" s="137" t="s">
        <v>598</v>
      </c>
      <c r="D252" s="137">
        <v>1.0</v>
      </c>
      <c r="E252" s="212">
        <f>'WIP FOOD'!$B$531</f>
        <v>2380.048166</v>
      </c>
      <c r="F252" s="140">
        <f t="shared" si="2"/>
        <v>2380.048166</v>
      </c>
    </row>
    <row r="253" ht="14.25" customHeight="1">
      <c r="A253" s="136" t="s">
        <v>596</v>
      </c>
      <c r="B253" s="137" t="s">
        <v>212</v>
      </c>
      <c r="C253" s="137" t="s">
        <v>598</v>
      </c>
      <c r="D253" s="137">
        <v>1.0</v>
      </c>
      <c r="E253" s="212">
        <f>'WIP FOOD'!$B$543</f>
        <v>1225.731863</v>
      </c>
      <c r="F253" s="140">
        <f t="shared" si="2"/>
        <v>1225.731863</v>
      </c>
    </row>
    <row r="254" ht="14.25" customHeight="1">
      <c r="A254" s="136" t="s">
        <v>596</v>
      </c>
      <c r="B254" s="137" t="s">
        <v>397</v>
      </c>
      <c r="C254" s="137" t="s">
        <v>598</v>
      </c>
      <c r="D254" s="137">
        <v>1.0</v>
      </c>
      <c r="E254" s="212">
        <f>'WIP FOOD'!$B$553</f>
        <v>45.94038658</v>
      </c>
      <c r="F254" s="140">
        <f t="shared" si="2"/>
        <v>45.94038658</v>
      </c>
    </row>
    <row r="255" ht="14.25" customHeight="1">
      <c r="A255" s="136" t="s">
        <v>596</v>
      </c>
      <c r="B255" s="137" t="s">
        <v>622</v>
      </c>
      <c r="C255" s="137" t="s">
        <v>598</v>
      </c>
      <c r="D255" s="137">
        <v>1.0</v>
      </c>
      <c r="E255" s="212">
        <f>'WIP FOOD'!$B$567</f>
        <v>90.91000389</v>
      </c>
      <c r="F255" s="140">
        <f t="shared" si="2"/>
        <v>90.91000389</v>
      </c>
    </row>
    <row r="256" ht="14.25" customHeight="1">
      <c r="A256" s="136" t="s">
        <v>596</v>
      </c>
      <c r="B256" s="137" t="s">
        <v>623</v>
      </c>
      <c r="C256" s="137" t="s">
        <v>598</v>
      </c>
      <c r="D256" s="137">
        <v>1.0</v>
      </c>
      <c r="E256" s="212">
        <f>'WIP FOOD'!$B$577</f>
        <v>107.2936092</v>
      </c>
      <c r="F256" s="140">
        <f t="shared" si="2"/>
        <v>107.2936092</v>
      </c>
    </row>
    <row r="257" ht="14.25" customHeight="1">
      <c r="A257" s="136" t="s">
        <v>596</v>
      </c>
      <c r="B257" s="137" t="s">
        <v>292</v>
      </c>
      <c r="C257" s="137" t="s">
        <v>598</v>
      </c>
      <c r="D257" s="137">
        <v>1.0</v>
      </c>
      <c r="E257" s="212">
        <f>'WIP FOOD'!$B$587</f>
        <v>89.2798498</v>
      </c>
      <c r="F257" s="140">
        <f t="shared" si="2"/>
        <v>89.2798498</v>
      </c>
    </row>
    <row r="258" ht="14.25" customHeight="1">
      <c r="A258" s="136" t="s">
        <v>596</v>
      </c>
      <c r="B258" s="137" t="s">
        <v>625</v>
      </c>
      <c r="C258" s="137" t="s">
        <v>598</v>
      </c>
      <c r="D258" s="137">
        <v>1.0</v>
      </c>
      <c r="E258" s="212">
        <f>'WIP FOOD'!$B$597</f>
        <v>35.1543379</v>
      </c>
      <c r="F258" s="140">
        <f t="shared" si="2"/>
        <v>35.1543379</v>
      </c>
    </row>
    <row r="259" ht="14.25" customHeight="1">
      <c r="A259" s="136" t="s">
        <v>596</v>
      </c>
      <c r="B259" s="137" t="s">
        <v>369</v>
      </c>
      <c r="C259" s="137" t="s">
        <v>598</v>
      </c>
      <c r="D259" s="137">
        <v>1.0</v>
      </c>
      <c r="E259" s="212">
        <f>'WIP FOOD'!$B$607</f>
        <v>203.8935556</v>
      </c>
      <c r="F259" s="140">
        <f t="shared" si="2"/>
        <v>203.8935556</v>
      </c>
    </row>
    <row r="260" ht="14.25" customHeight="1">
      <c r="A260" s="136" t="s">
        <v>596</v>
      </c>
      <c r="B260" s="137" t="s">
        <v>627</v>
      </c>
      <c r="C260" s="137" t="s">
        <v>598</v>
      </c>
      <c r="D260" s="137">
        <v>1.0</v>
      </c>
      <c r="E260" s="212">
        <f>'WIP FOOD'!$B$617</f>
        <v>43.27272727</v>
      </c>
      <c r="F260" s="140">
        <f t="shared" si="2"/>
        <v>43.27272727</v>
      </c>
    </row>
    <row r="261" ht="14.25" customHeight="1">
      <c r="A261" s="136" t="s">
        <v>596</v>
      </c>
      <c r="B261" s="137" t="s">
        <v>246</v>
      </c>
      <c r="C261" s="137" t="s">
        <v>598</v>
      </c>
      <c r="D261" s="137">
        <v>1.0</v>
      </c>
      <c r="E261" s="212">
        <f>'WIP FOOD'!$B$627</f>
        <v>34.23830409</v>
      </c>
      <c r="F261" s="140">
        <f t="shared" si="2"/>
        <v>34.23830409</v>
      </c>
    </row>
    <row r="262" ht="14.25" customHeight="1">
      <c r="A262" s="136" t="s">
        <v>596</v>
      </c>
      <c r="B262" s="137" t="s">
        <v>628</v>
      </c>
      <c r="C262" s="137" t="s">
        <v>598</v>
      </c>
      <c r="D262" s="137">
        <v>1.0</v>
      </c>
      <c r="E262" s="212">
        <f>'WIP FOOD'!$B$640</f>
        <v>22.35404339</v>
      </c>
      <c r="F262" s="140">
        <f t="shared" si="2"/>
        <v>22.35404339</v>
      </c>
    </row>
    <row r="263" ht="14.25" customHeight="1">
      <c r="A263" s="136" t="s">
        <v>596</v>
      </c>
      <c r="B263" s="137" t="s">
        <v>102</v>
      </c>
      <c r="C263" s="137" t="s">
        <v>598</v>
      </c>
      <c r="D263" s="137">
        <v>1.0</v>
      </c>
      <c r="E263" s="212">
        <f>'WIP FOOD'!$B$650</f>
        <v>80.31259017</v>
      </c>
      <c r="F263" s="140">
        <f t="shared" si="2"/>
        <v>80.31259017</v>
      </c>
    </row>
    <row r="264" ht="14.25" customHeight="1">
      <c r="A264" s="136" t="s">
        <v>596</v>
      </c>
      <c r="B264" s="137" t="s">
        <v>252</v>
      </c>
      <c r="C264" s="137" t="s">
        <v>598</v>
      </c>
      <c r="D264" s="137">
        <v>1.0</v>
      </c>
      <c r="E264" s="212">
        <f>'WIP FOOD'!$B$664</f>
        <v>49.44841124</v>
      </c>
      <c r="F264" s="140">
        <f t="shared" si="2"/>
        <v>49.44841124</v>
      </c>
    </row>
    <row r="265" ht="14.25" customHeight="1">
      <c r="A265" s="136" t="s">
        <v>596</v>
      </c>
      <c r="B265" s="137" t="s">
        <v>629</v>
      </c>
      <c r="C265" s="137" t="s">
        <v>598</v>
      </c>
      <c r="D265" s="137">
        <v>1.0</v>
      </c>
      <c r="E265" s="212">
        <f>'WIP FOOD'!$B$675</f>
        <v>39.785687</v>
      </c>
      <c r="F265" s="140">
        <f t="shared" si="2"/>
        <v>39.785687</v>
      </c>
    </row>
    <row r="266" ht="14.25" customHeight="1">
      <c r="A266" s="136" t="s">
        <v>596</v>
      </c>
      <c r="B266" s="137" t="s">
        <v>43</v>
      </c>
      <c r="C266" s="137" t="s">
        <v>598</v>
      </c>
      <c r="D266" s="137">
        <v>1.0</v>
      </c>
      <c r="E266" s="212">
        <f>'WIP FOOD'!$B$691</f>
        <v>76.56455142</v>
      </c>
      <c r="F266" s="140">
        <f t="shared" si="2"/>
        <v>76.56455142</v>
      </c>
    </row>
    <row r="267" ht="14.25" customHeight="1">
      <c r="A267" s="213" t="s">
        <v>596</v>
      </c>
      <c r="B267" s="214" t="s">
        <v>631</v>
      </c>
      <c r="C267" s="214" t="s">
        <v>598</v>
      </c>
      <c r="D267" s="214">
        <v>1.0</v>
      </c>
      <c r="E267" s="215">
        <f>'WIP FOOD'!$B$702</f>
        <v>211.7738095</v>
      </c>
      <c r="F267" s="216">
        <f t="shared" si="2"/>
        <v>211.7738095</v>
      </c>
    </row>
    <row r="268" ht="14.25" customHeight="1">
      <c r="A268" s="217" t="s">
        <v>596</v>
      </c>
      <c r="B268" s="217" t="s">
        <v>193</v>
      </c>
      <c r="C268" s="217" t="s">
        <v>598</v>
      </c>
      <c r="D268" s="217">
        <v>1.0</v>
      </c>
      <c r="E268" s="218">
        <f>'WIP FOOD'!$B$51</f>
        <v>3998.774123</v>
      </c>
      <c r="F268" s="218">
        <f t="shared" si="2"/>
        <v>3998.774123</v>
      </c>
    </row>
    <row r="269" ht="14.25" customHeight="1">
      <c r="A269" s="217" t="s">
        <v>596</v>
      </c>
      <c r="B269" s="217" t="s">
        <v>231</v>
      </c>
      <c r="C269" s="217" t="s">
        <v>598</v>
      </c>
      <c r="D269" s="217">
        <v>1.0</v>
      </c>
      <c r="E269" s="218">
        <f>'WIP FOOD'!$B$712</f>
        <v>2525.541551</v>
      </c>
      <c r="F269" s="218">
        <f t="shared" si="2"/>
        <v>2525.541551</v>
      </c>
    </row>
    <row r="270" ht="14.25" customHeight="1">
      <c r="A270" s="217" t="s">
        <v>596</v>
      </c>
      <c r="B270" s="217" t="s">
        <v>275</v>
      </c>
      <c r="C270" s="217" t="s">
        <v>598</v>
      </c>
      <c r="D270" s="217">
        <v>1.0</v>
      </c>
      <c r="E270" s="218">
        <f>'WIP FOOD'!$B$723</f>
        <v>2999.080592</v>
      </c>
      <c r="F270" s="218">
        <f t="shared" si="2"/>
        <v>2999.080592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7.0"/>
    <col customWidth="1" min="3" max="3" width="19.0"/>
    <col customWidth="1" min="4" max="4" width="18.0"/>
    <col customWidth="1" min="5" max="5" width="62.0"/>
    <col customWidth="1" min="6" max="6" width="8.63"/>
  </cols>
  <sheetData>
    <row r="1" ht="14.25" customHeight="1">
      <c r="A1" s="1" t="s">
        <v>472</v>
      </c>
      <c r="B1" s="2"/>
      <c r="C1" s="2"/>
      <c r="D1" s="2"/>
      <c r="E1" s="3"/>
    </row>
    <row r="2" ht="14.25" customHeight="1">
      <c r="A2" s="144" t="s">
        <v>474</v>
      </c>
    </row>
    <row r="3" ht="14.25" customHeight="1">
      <c r="A3" s="147" t="s">
        <v>19</v>
      </c>
      <c r="B3" s="151">
        <f>IFERROR(D15/D3,0)</f>
        <v>598.22</v>
      </c>
      <c r="C3" s="152" t="s">
        <v>478</v>
      </c>
      <c r="D3" s="154">
        <v>120.0</v>
      </c>
      <c r="E3" s="155" t="s">
        <v>23</v>
      </c>
    </row>
    <row r="4" ht="14.25" customHeight="1">
      <c r="A4" s="156" t="s">
        <v>420</v>
      </c>
      <c r="B4" s="154" t="s">
        <v>482</v>
      </c>
      <c r="C4" s="154" t="s">
        <v>483</v>
      </c>
      <c r="D4" s="154" t="s">
        <v>484</v>
      </c>
      <c r="E4" s="155" t="s">
        <v>17</v>
      </c>
    </row>
    <row r="5" ht="14.25" customHeight="1">
      <c r="A5" s="14" t="s">
        <v>457</v>
      </c>
      <c r="B5" s="15">
        <v>1000.0</v>
      </c>
      <c r="C5" s="17">
        <f>IFERROR(VLOOKUP(A5,'Market List'!$B:$F,5,FALSE),0)</f>
        <v>45</v>
      </c>
      <c r="D5" s="17">
        <f t="shared" ref="D5:D14" si="1">IFERROR(B5*C5,0)</f>
        <v>45000</v>
      </c>
      <c r="E5" s="24" t="s">
        <v>492</v>
      </c>
    </row>
    <row r="6" ht="14.25" customHeight="1">
      <c r="A6" s="25" t="s">
        <v>442</v>
      </c>
      <c r="B6" s="26">
        <v>90.0</v>
      </c>
      <c r="C6" s="28">
        <f>IFERROR(VLOOKUP(A6,'Market List'!$B:$F,5,FALSE),0)</f>
        <v>25</v>
      </c>
      <c r="D6" s="28">
        <f t="shared" si="1"/>
        <v>2250</v>
      </c>
      <c r="E6" s="32" t="s">
        <v>495</v>
      </c>
    </row>
    <row r="7" ht="14.25" customHeight="1">
      <c r="A7" s="25" t="s">
        <v>458</v>
      </c>
      <c r="B7" s="26">
        <v>750.0</v>
      </c>
      <c r="C7" s="28">
        <f>IFERROR(VLOOKUP(A7,'Market List'!$B:$F,5,FALSE),0)</f>
        <v>13</v>
      </c>
      <c r="D7" s="28">
        <f t="shared" si="1"/>
        <v>9750</v>
      </c>
      <c r="E7" s="32" t="s">
        <v>498</v>
      </c>
    </row>
    <row r="8" ht="14.25" customHeight="1">
      <c r="A8" s="25" t="s">
        <v>437</v>
      </c>
      <c r="B8" s="26">
        <v>12.0</v>
      </c>
      <c r="C8" s="28">
        <f>IFERROR(VLOOKUP(A8,'Market List'!$B:$F,5,FALSE),0)</f>
        <v>45</v>
      </c>
      <c r="D8" s="28">
        <f t="shared" si="1"/>
        <v>540</v>
      </c>
      <c r="E8" s="32" t="s">
        <v>500</v>
      </c>
    </row>
    <row r="9" ht="14.25" customHeight="1">
      <c r="A9" s="25" t="s">
        <v>435</v>
      </c>
      <c r="B9" s="26">
        <v>8.0</v>
      </c>
      <c r="C9" s="28">
        <f>IFERROR(VLOOKUP(A9,'Market List'!$B:$F,5,FALSE),0)</f>
        <v>33</v>
      </c>
      <c r="D9" s="28">
        <f t="shared" si="1"/>
        <v>264</v>
      </c>
      <c r="E9" s="32" t="s">
        <v>500</v>
      </c>
    </row>
    <row r="10" ht="14.25" customHeight="1">
      <c r="A10" s="25" t="s">
        <v>459</v>
      </c>
      <c r="B10" s="26">
        <v>120.0</v>
      </c>
      <c r="C10" s="28">
        <f>IFERROR(VLOOKUP(A10,'Market List'!$B:$F,5,FALSE),0)</f>
        <v>75</v>
      </c>
      <c r="D10" s="28">
        <f t="shared" si="1"/>
        <v>9000</v>
      </c>
      <c r="E10" s="32"/>
    </row>
    <row r="11" ht="14.25" customHeight="1">
      <c r="A11" s="25" t="s">
        <v>460</v>
      </c>
      <c r="B11" s="26">
        <v>1.0</v>
      </c>
      <c r="C11" s="28">
        <f>IFERROR(VLOOKUP(A11,'Market List'!$B:$F,5,FALSE),0)</f>
        <v>114.4</v>
      </c>
      <c r="D11" s="28">
        <f t="shared" si="1"/>
        <v>114.4</v>
      </c>
      <c r="E11" s="32"/>
    </row>
    <row r="12" ht="14.25" customHeight="1">
      <c r="A12" s="25" t="s">
        <v>433</v>
      </c>
      <c r="B12" s="26">
        <v>20.0</v>
      </c>
      <c r="C12" s="28">
        <f>IFERROR(VLOOKUP(A12,'Market List'!$B:$F,5,FALSE),0)</f>
        <v>155.5</v>
      </c>
      <c r="D12" s="28">
        <f t="shared" si="1"/>
        <v>3110</v>
      </c>
      <c r="E12" s="32"/>
    </row>
    <row r="13" ht="14.25" customHeight="1">
      <c r="A13" s="25" t="s">
        <v>461</v>
      </c>
      <c r="B13" s="26">
        <v>30.0</v>
      </c>
      <c r="C13" s="28">
        <f>IFERROR(VLOOKUP(A13,'Market List'!$B:$F,5,FALSE),0)</f>
        <v>45</v>
      </c>
      <c r="D13" s="28">
        <f t="shared" si="1"/>
        <v>1350</v>
      </c>
      <c r="E13" s="32" t="s">
        <v>498</v>
      </c>
    </row>
    <row r="14" ht="14.25" customHeight="1">
      <c r="A14" s="36" t="s">
        <v>412</v>
      </c>
      <c r="B14" s="37">
        <v>3.0</v>
      </c>
      <c r="C14" s="38">
        <f>IFERROR(VLOOKUP(A14,'Market List'!$B:$F,5,FALSE),0)</f>
        <v>136</v>
      </c>
      <c r="D14" s="38">
        <f t="shared" si="1"/>
        <v>408</v>
      </c>
      <c r="E14" s="41"/>
    </row>
    <row r="15" ht="14.25" customHeight="1">
      <c r="A15" s="156" t="s">
        <v>515</v>
      </c>
      <c r="B15" s="154"/>
      <c r="C15" s="154"/>
      <c r="D15" s="181">
        <f>SUM(D5:D14)</f>
        <v>71786.4</v>
      </c>
      <c r="E15" s="155" t="s">
        <v>518</v>
      </c>
    </row>
    <row r="16" ht="14.25" customHeight="1"/>
    <row r="17" ht="14.25" customHeight="1">
      <c r="A17" s="147" t="s">
        <v>122</v>
      </c>
      <c r="B17" s="151">
        <f>IFERROR(D26/D17,0)</f>
        <v>2346.198413</v>
      </c>
      <c r="C17" s="152" t="s">
        <v>478</v>
      </c>
      <c r="D17" s="154">
        <v>10.0</v>
      </c>
      <c r="E17" s="155" t="s">
        <v>478</v>
      </c>
    </row>
    <row r="18" ht="14.25" customHeight="1">
      <c r="A18" s="156" t="s">
        <v>420</v>
      </c>
      <c r="B18" s="154" t="s">
        <v>482</v>
      </c>
      <c r="C18" s="154" t="s">
        <v>483</v>
      </c>
      <c r="D18" s="154" t="s">
        <v>484</v>
      </c>
      <c r="E18" s="155" t="s">
        <v>17</v>
      </c>
    </row>
    <row r="19" ht="14.25" customHeight="1">
      <c r="A19" s="14" t="s">
        <v>505</v>
      </c>
      <c r="B19" s="15">
        <v>900.0</v>
      </c>
      <c r="C19" s="17">
        <f>IFERROR(VLOOKUP(A19,'Market List'!$B:$F,5,FALSE),0)</f>
        <v>13</v>
      </c>
      <c r="D19" s="17">
        <f t="shared" ref="D19:D25" si="2">IFERROR(B19*C19,0)</f>
        <v>11700</v>
      </c>
      <c r="E19" s="24" t="s">
        <v>526</v>
      </c>
    </row>
    <row r="20" ht="14.25" customHeight="1">
      <c r="A20" s="25" t="s">
        <v>346</v>
      </c>
      <c r="B20" s="26">
        <v>2.0</v>
      </c>
      <c r="C20" s="28">
        <f>IFERROR(VLOOKUP(A20,'Market List'!$B:$F,5,FALSE),0)</f>
        <v>1785.714286</v>
      </c>
      <c r="D20" s="28">
        <f t="shared" si="2"/>
        <v>3571.428571</v>
      </c>
      <c r="E20" s="32"/>
    </row>
    <row r="21" ht="14.25" customHeight="1">
      <c r="A21" s="25" t="s">
        <v>425</v>
      </c>
      <c r="B21" s="26">
        <v>10.0</v>
      </c>
      <c r="C21" s="28">
        <f>IFERROR(VLOOKUP(A21,'Market List'!$B:$F,5,FALSE),0)</f>
        <v>16</v>
      </c>
      <c r="D21" s="28">
        <f t="shared" si="2"/>
        <v>160</v>
      </c>
      <c r="E21" s="32"/>
    </row>
    <row r="22" ht="14.25" customHeight="1">
      <c r="A22" s="25" t="s">
        <v>436</v>
      </c>
      <c r="B22" s="26">
        <v>15.0</v>
      </c>
      <c r="C22" s="28">
        <f>IFERROR(VLOOKUP(A22,'Market List'!$B:$F,5,FALSE),0)</f>
        <v>18</v>
      </c>
      <c r="D22" s="28">
        <f t="shared" si="2"/>
        <v>270</v>
      </c>
      <c r="E22" s="32"/>
    </row>
    <row r="23" ht="14.25" customHeight="1">
      <c r="A23" s="25" t="s">
        <v>533</v>
      </c>
      <c r="B23" s="26">
        <v>5.0</v>
      </c>
      <c r="C23" s="28">
        <f>IFERROR(VLOOKUP(A23,'Market List'!$B:$F,5,FALSE),0)</f>
        <v>111.1111111</v>
      </c>
      <c r="D23" s="28">
        <f t="shared" si="2"/>
        <v>555.5555556</v>
      </c>
      <c r="E23" s="32"/>
    </row>
    <row r="24" ht="14.25" customHeight="1">
      <c r="A24" s="25" t="s">
        <v>433</v>
      </c>
      <c r="B24" s="26">
        <v>20.0</v>
      </c>
      <c r="C24" s="28">
        <f>IFERROR(VLOOKUP(A24,'Market List'!$B:$F,5,FALSE),0)</f>
        <v>155.5</v>
      </c>
      <c r="D24" s="28">
        <f t="shared" si="2"/>
        <v>3110</v>
      </c>
      <c r="E24" s="32"/>
    </row>
    <row r="25" ht="14.25" customHeight="1">
      <c r="A25" s="36" t="s">
        <v>430</v>
      </c>
      <c r="B25" s="37">
        <v>1300.0</v>
      </c>
      <c r="C25" s="38">
        <f>IFERROR(VLOOKUP(A25,'Market List'!$B:$F,5,FALSE),0)</f>
        <v>3.15</v>
      </c>
      <c r="D25" s="38">
        <f t="shared" si="2"/>
        <v>4095</v>
      </c>
      <c r="E25" s="41"/>
    </row>
    <row r="26" ht="14.25" customHeight="1">
      <c r="A26" s="156" t="s">
        <v>515</v>
      </c>
      <c r="B26" s="154"/>
      <c r="C26" s="154"/>
      <c r="D26" s="181">
        <f>SUM(D19:D25)</f>
        <v>23461.98413</v>
      </c>
      <c r="E26" s="155" t="s">
        <v>518</v>
      </c>
    </row>
    <row r="27" ht="14.25" customHeight="1"/>
    <row r="28" ht="14.25" customHeight="1">
      <c r="A28" s="147" t="s">
        <v>20</v>
      </c>
      <c r="B28" s="151">
        <f>IFERROR(D39/D28,0)</f>
        <v>546.0819048</v>
      </c>
      <c r="C28" s="152" t="s">
        <v>478</v>
      </c>
      <c r="D28" s="154">
        <v>25.0</v>
      </c>
      <c r="E28" s="155" t="s">
        <v>23</v>
      </c>
    </row>
    <row r="29" ht="14.25" customHeight="1">
      <c r="A29" s="156" t="s">
        <v>420</v>
      </c>
      <c r="B29" s="154" t="s">
        <v>482</v>
      </c>
      <c r="C29" s="154" t="s">
        <v>483</v>
      </c>
      <c r="D29" s="154" t="s">
        <v>484</v>
      </c>
      <c r="E29" s="155" t="s">
        <v>17</v>
      </c>
    </row>
    <row r="30" ht="14.25" customHeight="1">
      <c r="A30" s="14" t="s">
        <v>505</v>
      </c>
      <c r="B30" s="15">
        <v>300.0</v>
      </c>
      <c r="C30" s="17">
        <f>IFERROR(VLOOKUP(A30,'Market List'!$B:$F,5,FALSE),0)</f>
        <v>13</v>
      </c>
      <c r="D30" s="17">
        <f t="shared" ref="D30:D38" si="3">IFERROR(B30*C30,0)</f>
        <v>3900</v>
      </c>
      <c r="E30" s="24" t="s">
        <v>526</v>
      </c>
    </row>
    <row r="31" ht="14.25" customHeight="1">
      <c r="A31" s="25" t="s">
        <v>532</v>
      </c>
      <c r="B31" s="26">
        <v>80.0</v>
      </c>
      <c r="C31" s="28">
        <f>IFERROR(VLOOKUP(A31,'Market List'!$B:$F,5,FALSE),0)</f>
        <v>22.5</v>
      </c>
      <c r="D31" s="28">
        <f t="shared" si="3"/>
        <v>1800</v>
      </c>
      <c r="E31" s="32"/>
    </row>
    <row r="32" ht="14.25" customHeight="1">
      <c r="A32" s="25" t="s">
        <v>346</v>
      </c>
      <c r="B32" s="26">
        <v>1.0</v>
      </c>
      <c r="C32" s="28">
        <f>IFERROR(VLOOKUP(A32,'Market List'!$B:$F,5,FALSE),0)</f>
        <v>1785.714286</v>
      </c>
      <c r="D32" s="28">
        <f t="shared" si="3"/>
        <v>1785.714286</v>
      </c>
      <c r="E32" s="32"/>
    </row>
    <row r="33" ht="14.25" customHeight="1">
      <c r="A33" s="25" t="s">
        <v>533</v>
      </c>
      <c r="B33" s="26">
        <v>3.0</v>
      </c>
      <c r="C33" s="28">
        <f>IFERROR(VLOOKUP(A33,'Market List'!$B:$F,5,FALSE),0)</f>
        <v>111.1111111</v>
      </c>
      <c r="D33" s="28">
        <f t="shared" si="3"/>
        <v>333.3333333</v>
      </c>
      <c r="E33" s="32"/>
    </row>
    <row r="34" ht="14.25" customHeight="1">
      <c r="A34" s="25" t="s">
        <v>44</v>
      </c>
      <c r="B34" s="26">
        <v>3.0</v>
      </c>
      <c r="C34" s="28">
        <f>IFERROR(VLOOKUP(A34,'Market List'!$B:$F,5,FALSE),0)</f>
        <v>496</v>
      </c>
      <c r="D34" s="28">
        <f t="shared" si="3"/>
        <v>1488</v>
      </c>
      <c r="E34" s="32"/>
    </row>
    <row r="35" ht="14.25" customHeight="1">
      <c r="A35" s="25" t="s">
        <v>430</v>
      </c>
      <c r="B35" s="26">
        <v>750.0</v>
      </c>
      <c r="C35" s="28">
        <f>IFERROR(VLOOKUP(A35,'Market List'!$B:$F,5,FALSE),0)</f>
        <v>3.15</v>
      </c>
      <c r="D35" s="28">
        <f t="shared" si="3"/>
        <v>2362.5</v>
      </c>
      <c r="E35" s="32"/>
    </row>
    <row r="36" ht="14.25" customHeight="1">
      <c r="A36" s="25" t="s">
        <v>433</v>
      </c>
      <c r="B36" s="26">
        <v>3.0</v>
      </c>
      <c r="C36" s="28">
        <f>IFERROR(VLOOKUP(A36,'Market List'!$B:$F,5,FALSE),0)</f>
        <v>155.5</v>
      </c>
      <c r="D36" s="28">
        <f t="shared" si="3"/>
        <v>466.5</v>
      </c>
      <c r="E36" s="32"/>
    </row>
    <row r="37" ht="14.25" customHeight="1">
      <c r="A37" s="25" t="s">
        <v>425</v>
      </c>
      <c r="B37" s="26">
        <v>1.0</v>
      </c>
      <c r="C37" s="28">
        <f>IFERROR(VLOOKUP(A37,'Market List'!$B:$F,5,FALSE),0)</f>
        <v>16</v>
      </c>
      <c r="D37" s="28">
        <f t="shared" si="3"/>
        <v>16</v>
      </c>
      <c r="E37" s="32"/>
    </row>
    <row r="38" ht="14.25" customHeight="1">
      <c r="A38" s="36" t="s">
        <v>465</v>
      </c>
      <c r="B38" s="37">
        <v>20.0</v>
      </c>
      <c r="C38" s="38">
        <f>IFERROR(VLOOKUP(A38,'Market List'!$B:$F,5,FALSE),0)</f>
        <v>75</v>
      </c>
      <c r="D38" s="38">
        <f t="shared" si="3"/>
        <v>1500</v>
      </c>
      <c r="E38" s="41"/>
    </row>
    <row r="39" ht="14.25" customHeight="1">
      <c r="A39" s="156" t="s">
        <v>515</v>
      </c>
      <c r="B39" s="154"/>
      <c r="C39" s="154"/>
      <c r="D39" s="181">
        <f>SUM(D30:D38)</f>
        <v>13652.04762</v>
      </c>
      <c r="E39" s="155" t="s">
        <v>518</v>
      </c>
    </row>
    <row r="40" ht="14.25" customHeight="1"/>
    <row r="41" ht="14.25" customHeight="1">
      <c r="A41" s="147" t="s">
        <v>180</v>
      </c>
      <c r="B41" s="151">
        <f>IFERROR(D49/D41,0)</f>
        <v>1405.043915</v>
      </c>
      <c r="C41" s="152" t="s">
        <v>478</v>
      </c>
      <c r="D41" s="154">
        <v>15.0</v>
      </c>
      <c r="E41" s="155" t="s">
        <v>23</v>
      </c>
    </row>
    <row r="42" ht="14.25" customHeight="1">
      <c r="A42" s="156" t="s">
        <v>420</v>
      </c>
      <c r="B42" s="154" t="s">
        <v>482</v>
      </c>
      <c r="C42" s="154" t="s">
        <v>483</v>
      </c>
      <c r="D42" s="154" t="s">
        <v>484</v>
      </c>
      <c r="E42" s="155" t="s">
        <v>17</v>
      </c>
    </row>
    <row r="43" ht="14.25" customHeight="1">
      <c r="A43" s="14" t="s">
        <v>522</v>
      </c>
      <c r="B43" s="15">
        <v>8.0</v>
      </c>
      <c r="C43" s="17">
        <f>IFERROR(VLOOKUP(A43,'Market List'!$B:$F,5,FALSE),0)</f>
        <v>1785.714286</v>
      </c>
      <c r="D43" s="17">
        <f t="shared" ref="D43:D48" si="4">IFERROR(B43*C43,0)</f>
        <v>14285.71429</v>
      </c>
      <c r="E43" s="24" t="s">
        <v>571</v>
      </c>
    </row>
    <row r="44" ht="14.25" customHeight="1">
      <c r="A44" s="25" t="s">
        <v>430</v>
      </c>
      <c r="B44" s="26">
        <v>180.0</v>
      </c>
      <c r="C44" s="28">
        <f>IFERROR(VLOOKUP(A44,'Market List'!$B:$F,5,FALSE),0)</f>
        <v>3.15</v>
      </c>
      <c r="D44" s="28">
        <f t="shared" si="4"/>
        <v>567</v>
      </c>
      <c r="E44" s="32" t="s">
        <v>572</v>
      </c>
    </row>
    <row r="45" ht="14.25" customHeight="1">
      <c r="A45" s="25" t="s">
        <v>436</v>
      </c>
      <c r="B45" s="26">
        <v>80.0</v>
      </c>
      <c r="C45" s="28">
        <f>IFERROR(VLOOKUP(A45,'Market List'!$B:$F,5,FALSE),0)</f>
        <v>18</v>
      </c>
      <c r="D45" s="28">
        <f t="shared" si="4"/>
        <v>1440</v>
      </c>
      <c r="E45" s="32" t="s">
        <v>573</v>
      </c>
    </row>
    <row r="46" ht="14.25" customHeight="1">
      <c r="A46" s="25" t="s">
        <v>443</v>
      </c>
      <c r="B46" s="26">
        <v>20.0</v>
      </c>
      <c r="C46" s="28">
        <f>IFERROR(VLOOKUP(A46,'Market List'!$B:$F,5,FALSE),0)</f>
        <v>75</v>
      </c>
      <c r="D46" s="28">
        <f t="shared" si="4"/>
        <v>1500</v>
      </c>
      <c r="E46" s="32" t="s">
        <v>574</v>
      </c>
    </row>
    <row r="47" ht="14.25" customHeight="1">
      <c r="A47" s="25" t="s">
        <v>433</v>
      </c>
      <c r="B47" s="26">
        <v>7.0</v>
      </c>
      <c r="C47" s="28">
        <f>IFERROR(VLOOKUP(A47,'Market List'!$B:$F,5,FALSE),0)</f>
        <v>155.5</v>
      </c>
      <c r="D47" s="28">
        <f t="shared" si="4"/>
        <v>1088.5</v>
      </c>
      <c r="E47" s="32"/>
    </row>
    <row r="48" ht="14.25" customHeight="1">
      <c r="A48" s="36" t="s">
        <v>57</v>
      </c>
      <c r="B48" s="37">
        <v>100.0</v>
      </c>
      <c r="C48" s="38">
        <f>IFERROR(VLOOKUP(A48,'Market List'!$B:$F,5,FALSE),0)</f>
        <v>21.94444444</v>
      </c>
      <c r="D48" s="38">
        <f t="shared" si="4"/>
        <v>2194.444444</v>
      </c>
      <c r="E48" s="41" t="s">
        <v>576</v>
      </c>
    </row>
    <row r="49" ht="14.25" customHeight="1">
      <c r="A49" s="156" t="s">
        <v>515</v>
      </c>
      <c r="B49" s="154"/>
      <c r="C49" s="154"/>
      <c r="D49" s="181">
        <f>SUM(D43:D48)</f>
        <v>21075.65873</v>
      </c>
      <c r="E49" s="155" t="s">
        <v>518</v>
      </c>
    </row>
    <row r="50" ht="14.25" customHeight="1"/>
    <row r="51" ht="14.25" customHeight="1">
      <c r="A51" s="147" t="s">
        <v>193</v>
      </c>
      <c r="B51" s="151">
        <f>IFERROR(D60/D51,0)</f>
        <v>3998.774123</v>
      </c>
      <c r="C51" s="152" t="s">
        <v>478</v>
      </c>
      <c r="D51" s="154">
        <v>12.0</v>
      </c>
      <c r="E51" s="155" t="s">
        <v>22</v>
      </c>
    </row>
    <row r="52" ht="14.25" customHeight="1">
      <c r="A52" s="156" t="s">
        <v>420</v>
      </c>
      <c r="B52" s="154" t="s">
        <v>482</v>
      </c>
      <c r="C52" s="154" t="s">
        <v>483</v>
      </c>
      <c r="D52" s="154" t="s">
        <v>484</v>
      </c>
      <c r="E52" s="155" t="s">
        <v>17</v>
      </c>
    </row>
    <row r="53" ht="14.25" customHeight="1">
      <c r="A53" s="14" t="s">
        <v>560</v>
      </c>
      <c r="B53" s="15">
        <v>463.0</v>
      </c>
      <c r="C53" s="17">
        <f>IFERROR(VLOOKUP(A53,'Market List'!$B:$F,5,FALSE),0)</f>
        <v>13.5</v>
      </c>
      <c r="D53" s="17">
        <f t="shared" ref="D53:D59" si="5">IFERROR(B53*C53,0)</f>
        <v>6250.5</v>
      </c>
      <c r="E53" s="24"/>
    </row>
    <row r="54" ht="14.25" customHeight="1">
      <c r="A54" s="25" t="s">
        <v>561</v>
      </c>
      <c r="B54" s="26">
        <v>231.0</v>
      </c>
      <c r="C54" s="28">
        <f>IFERROR(VLOOKUP(A54,'Market List'!$B:$F,5,FALSE),0)</f>
        <v>25</v>
      </c>
      <c r="D54" s="28">
        <f t="shared" si="5"/>
        <v>5775</v>
      </c>
      <c r="E54" s="32"/>
    </row>
    <row r="55" ht="14.25" customHeight="1">
      <c r="A55" s="25" t="s">
        <v>466</v>
      </c>
      <c r="B55" s="26">
        <v>47.0</v>
      </c>
      <c r="C55" s="28">
        <f>IFERROR(VLOOKUP(A55,'Market List'!$B:$F,5,FALSE),0)</f>
        <v>38.42105263</v>
      </c>
      <c r="D55" s="28">
        <f t="shared" si="5"/>
        <v>1805.789474</v>
      </c>
      <c r="E55" s="32"/>
    </row>
    <row r="56" ht="14.25" customHeight="1">
      <c r="A56" s="25" t="s">
        <v>563</v>
      </c>
      <c r="B56" s="26">
        <v>5.0</v>
      </c>
      <c r="C56" s="28">
        <f>IFERROR(VLOOKUP(A56,'Market List'!$B:$F,5,FALSE),0)</f>
        <v>100</v>
      </c>
      <c r="D56" s="28">
        <f t="shared" si="5"/>
        <v>500</v>
      </c>
      <c r="E56" s="32"/>
    </row>
    <row r="57" ht="14.25" customHeight="1">
      <c r="A57" s="25" t="s">
        <v>543</v>
      </c>
      <c r="B57" s="26">
        <v>65.0</v>
      </c>
      <c r="C57" s="28">
        <f>IFERROR(VLOOKUP(A57,'Market List'!$B:$F,5,FALSE),0)</f>
        <v>18</v>
      </c>
      <c r="D57" s="28">
        <f t="shared" si="5"/>
        <v>1170</v>
      </c>
      <c r="E57" s="32"/>
    </row>
    <row r="58" ht="14.25" customHeight="1">
      <c r="A58" s="25" t="s">
        <v>425</v>
      </c>
      <c r="B58" s="26">
        <v>9.0</v>
      </c>
      <c r="C58" s="28">
        <f>IFERROR(VLOOKUP(A58,'Market List'!$B:$F,5,FALSE),0)</f>
        <v>16</v>
      </c>
      <c r="D58" s="28">
        <f t="shared" si="5"/>
        <v>144</v>
      </c>
      <c r="E58" s="32"/>
    </row>
    <row r="59" ht="14.25" customHeight="1">
      <c r="A59" s="36" t="s">
        <v>352</v>
      </c>
      <c r="B59" s="37">
        <v>231.0</v>
      </c>
      <c r="C59" s="38">
        <f>IFERROR(VLOOKUP(A59,'Market List'!$B:$F,5,FALSE),0)</f>
        <v>140</v>
      </c>
      <c r="D59" s="38">
        <f t="shared" si="5"/>
        <v>32340</v>
      </c>
      <c r="E59" s="41"/>
    </row>
    <row r="60" ht="14.25" customHeight="1">
      <c r="A60" s="156" t="s">
        <v>515</v>
      </c>
      <c r="B60" s="154"/>
      <c r="C60" s="154"/>
      <c r="D60" s="181">
        <f>SUM(D53:D59)</f>
        <v>47985.28947</v>
      </c>
      <c r="E60" s="155" t="s">
        <v>580</v>
      </c>
    </row>
    <row r="61" ht="14.25" customHeight="1"/>
    <row r="62" ht="14.25" customHeight="1">
      <c r="A62" s="147" t="s">
        <v>320</v>
      </c>
      <c r="B62" s="151">
        <f>IFERROR(D70/D62,0)</f>
        <v>89.06203572</v>
      </c>
      <c r="C62" s="152" t="s">
        <v>478</v>
      </c>
      <c r="D62" s="154">
        <f>SUM(B64:B69)*90%</f>
        <v>599.4</v>
      </c>
      <c r="E62" s="155" t="s">
        <v>582</v>
      </c>
    </row>
    <row r="63" ht="14.25" customHeight="1">
      <c r="A63" s="156" t="s">
        <v>420</v>
      </c>
      <c r="B63" s="154" t="s">
        <v>482</v>
      </c>
      <c r="C63" s="154" t="s">
        <v>483</v>
      </c>
      <c r="D63" s="154" t="s">
        <v>484</v>
      </c>
      <c r="E63" s="155" t="s">
        <v>17</v>
      </c>
    </row>
    <row r="64" ht="14.25" customHeight="1">
      <c r="A64" s="14" t="s">
        <v>374</v>
      </c>
      <c r="B64" s="15">
        <v>20.0</v>
      </c>
      <c r="C64" s="17">
        <f>IFERROR(VLOOKUP(A64,'Market List'!$B:$F,5,FALSE),0)</f>
        <v>140</v>
      </c>
      <c r="D64" s="17">
        <f t="shared" ref="D64:D69" si="6">IFERROR(B64*C64,0)</f>
        <v>2800</v>
      </c>
      <c r="E64" s="24" t="s">
        <v>583</v>
      </c>
    </row>
    <row r="65" ht="14.25" customHeight="1">
      <c r="A65" s="25" t="s">
        <v>505</v>
      </c>
      <c r="B65" s="26">
        <v>20.0</v>
      </c>
      <c r="C65" s="28">
        <f>IFERROR(VLOOKUP(A65,'Market List'!$B:$F,5,FALSE),0)</f>
        <v>13</v>
      </c>
      <c r="D65" s="28">
        <f t="shared" si="6"/>
        <v>260</v>
      </c>
      <c r="E65" s="32" t="s">
        <v>584</v>
      </c>
    </row>
    <row r="66" ht="14.25" customHeight="1">
      <c r="A66" s="25" t="s">
        <v>466</v>
      </c>
      <c r="B66" s="26">
        <v>270.0</v>
      </c>
      <c r="C66" s="28">
        <f>IFERROR(VLOOKUP(A66,'Market List'!$B:$F,5,FALSE),0)</f>
        <v>38.42105263</v>
      </c>
      <c r="D66" s="28">
        <f t="shared" si="6"/>
        <v>10373.68421</v>
      </c>
      <c r="E66" s="32" t="s">
        <v>585</v>
      </c>
    </row>
    <row r="67" ht="14.25" customHeight="1">
      <c r="A67" s="25" t="s">
        <v>535</v>
      </c>
      <c r="B67" s="26">
        <v>350.0</v>
      </c>
      <c r="C67" s="28">
        <f>IFERROR(VLOOKUP(A67,'Market List'!$B:$F,5,FALSE),0)</f>
        <v>111.876</v>
      </c>
      <c r="D67" s="28">
        <f t="shared" si="6"/>
        <v>39156.6</v>
      </c>
      <c r="E67" s="32" t="s">
        <v>500</v>
      </c>
    </row>
    <row r="68" ht="14.25" customHeight="1">
      <c r="A68" s="25" t="s">
        <v>433</v>
      </c>
      <c r="B68" s="26">
        <v>5.0</v>
      </c>
      <c r="C68" s="28">
        <f>IFERROR(VLOOKUP(A68,'Market List'!$B:$F,5,FALSE),0)</f>
        <v>155.5</v>
      </c>
      <c r="D68" s="28">
        <f t="shared" si="6"/>
        <v>777.5</v>
      </c>
      <c r="E68" s="32"/>
    </row>
    <row r="69" ht="14.25" customHeight="1">
      <c r="A69" s="36" t="s">
        <v>425</v>
      </c>
      <c r="B69" s="37">
        <v>1.0</v>
      </c>
      <c r="C69" s="38">
        <f>IFERROR(VLOOKUP(A69,'Market List'!$B:$F,5,FALSE),0)</f>
        <v>16</v>
      </c>
      <c r="D69" s="38">
        <f t="shared" si="6"/>
        <v>16</v>
      </c>
      <c r="E69" s="41"/>
    </row>
    <row r="70" ht="14.25" customHeight="1">
      <c r="A70" s="156" t="s">
        <v>515</v>
      </c>
      <c r="B70" s="154"/>
      <c r="C70" s="154"/>
      <c r="D70" s="181">
        <f>SUM(D64:D69)</f>
        <v>53383.78421</v>
      </c>
      <c r="E70" s="155" t="s">
        <v>518</v>
      </c>
    </row>
    <row r="71" ht="14.25" customHeight="1"/>
    <row r="72" ht="14.25" customHeight="1">
      <c r="A72" s="147" t="s">
        <v>349</v>
      </c>
      <c r="B72" s="151">
        <f>IFERROR(D86/D72,0)</f>
        <v>120.1185762</v>
      </c>
      <c r="C72" s="152" t="s">
        <v>478</v>
      </c>
      <c r="D72" s="154">
        <f>SUM(B74:B85)*90%</f>
        <v>648.9</v>
      </c>
      <c r="E72" s="155" t="s">
        <v>582</v>
      </c>
    </row>
    <row r="73" ht="14.25" customHeight="1">
      <c r="A73" s="156" t="s">
        <v>420</v>
      </c>
      <c r="B73" s="154" t="s">
        <v>482</v>
      </c>
      <c r="C73" s="154" t="s">
        <v>483</v>
      </c>
      <c r="D73" s="154" t="s">
        <v>484</v>
      </c>
      <c r="E73" s="155" t="s">
        <v>17</v>
      </c>
    </row>
    <row r="74" ht="14.25" customHeight="1">
      <c r="A74" s="14" t="s">
        <v>50</v>
      </c>
      <c r="B74" s="15">
        <v>60.0</v>
      </c>
      <c r="C74" s="17">
        <f>IFERROR(VLOOKUP(A74,'Market List'!$B:$F,5,FALSE),0)</f>
        <v>478.3989</v>
      </c>
      <c r="D74" s="17">
        <f t="shared" ref="D74:D85" si="7">IFERROR(B74*C74,0)</f>
        <v>28703.934</v>
      </c>
      <c r="E74" s="24" t="s">
        <v>593</v>
      </c>
    </row>
    <row r="75" ht="14.25" customHeight="1">
      <c r="A75" s="25" t="s">
        <v>480</v>
      </c>
      <c r="B75" s="26">
        <v>25.0</v>
      </c>
      <c r="C75" s="28">
        <f>IFERROR(VLOOKUP(A75,'Market List'!$B:$F,5,FALSE),0)</f>
        <v>150</v>
      </c>
      <c r="D75" s="28">
        <f t="shared" si="7"/>
        <v>3750</v>
      </c>
      <c r="E75" s="32" t="s">
        <v>594</v>
      </c>
    </row>
    <row r="76" ht="14.25" customHeight="1">
      <c r="A76" s="25" t="s">
        <v>481</v>
      </c>
      <c r="B76" s="26">
        <v>60.0</v>
      </c>
      <c r="C76" s="28">
        <f>IFERROR(VLOOKUP(A76,'Market List'!$B:$F,5,FALSE),0)</f>
        <v>256</v>
      </c>
      <c r="D76" s="28">
        <f t="shared" si="7"/>
        <v>15360</v>
      </c>
      <c r="E76" s="32" t="s">
        <v>595</v>
      </c>
    </row>
    <row r="77" ht="14.25" customHeight="1">
      <c r="A77" s="25" t="s">
        <v>486</v>
      </c>
      <c r="B77" s="26">
        <v>48.0</v>
      </c>
      <c r="C77" s="28">
        <f>IFERROR(VLOOKUP(A77,'Market List'!$B:$F,5,FALSE),0)</f>
        <v>351.6666667</v>
      </c>
      <c r="D77" s="28">
        <f t="shared" si="7"/>
        <v>16880</v>
      </c>
      <c r="E77" s="32" t="s">
        <v>597</v>
      </c>
    </row>
    <row r="78" ht="14.25" customHeight="1">
      <c r="A78" s="25" t="s">
        <v>487</v>
      </c>
      <c r="B78" s="26">
        <v>20.0</v>
      </c>
      <c r="C78" s="28">
        <f>IFERROR(VLOOKUP(A78,'Market List'!$B:$F,5,FALSE),0)</f>
        <v>155.5</v>
      </c>
      <c r="D78" s="28">
        <f t="shared" si="7"/>
        <v>3110</v>
      </c>
      <c r="E78" s="32" t="s">
        <v>599</v>
      </c>
    </row>
    <row r="79" ht="14.25" customHeight="1">
      <c r="A79" s="25" t="s">
        <v>398</v>
      </c>
      <c r="B79" s="26">
        <v>8.0</v>
      </c>
      <c r="C79" s="28">
        <f>IFERROR(VLOOKUP(A79,'Market List'!$B:$F,5,FALSE),0)</f>
        <v>43.18181818</v>
      </c>
      <c r="D79" s="28">
        <f t="shared" si="7"/>
        <v>345.4545455</v>
      </c>
      <c r="E79" s="32" t="s">
        <v>600</v>
      </c>
    </row>
    <row r="80" ht="14.25" customHeight="1">
      <c r="A80" s="25" t="s">
        <v>436</v>
      </c>
      <c r="B80" s="26">
        <v>20.0</v>
      </c>
      <c r="C80" s="28">
        <f>IFERROR(VLOOKUP(A80,'Market List'!$B:$F,5,FALSE),0)</f>
        <v>18</v>
      </c>
      <c r="D80" s="28">
        <f t="shared" si="7"/>
        <v>360</v>
      </c>
      <c r="E80" s="32"/>
    </row>
    <row r="81" ht="14.25" customHeight="1">
      <c r="A81" s="25" t="s">
        <v>437</v>
      </c>
      <c r="B81" s="26">
        <v>10.0</v>
      </c>
      <c r="C81" s="28">
        <f>IFERROR(VLOOKUP(A81,'Market List'!$B:$F,5,FALSE),0)</f>
        <v>45</v>
      </c>
      <c r="D81" s="28">
        <f t="shared" si="7"/>
        <v>450</v>
      </c>
      <c r="E81" s="32" t="s">
        <v>601</v>
      </c>
    </row>
    <row r="82" ht="14.25" customHeight="1">
      <c r="A82" s="25" t="s">
        <v>435</v>
      </c>
      <c r="B82" s="26">
        <v>5.0</v>
      </c>
      <c r="C82" s="28">
        <f>IFERROR(VLOOKUP(A82,'Market List'!$B:$F,5,FALSE),0)</f>
        <v>33</v>
      </c>
      <c r="D82" s="28">
        <f t="shared" si="7"/>
        <v>165</v>
      </c>
      <c r="E82" s="32" t="s">
        <v>602</v>
      </c>
    </row>
    <row r="83" ht="14.25" customHeight="1">
      <c r="A83" s="25" t="s">
        <v>489</v>
      </c>
      <c r="B83" s="26">
        <v>15.0</v>
      </c>
      <c r="C83" s="28">
        <f>IFERROR(VLOOKUP(A83,'Market List'!$B:$F,5,FALSE),0)</f>
        <v>55</v>
      </c>
      <c r="D83" s="28">
        <f t="shared" si="7"/>
        <v>825</v>
      </c>
      <c r="E83" s="32" t="s">
        <v>601</v>
      </c>
    </row>
    <row r="84" ht="14.25" customHeight="1">
      <c r="A84" s="25" t="s">
        <v>57</v>
      </c>
      <c r="B84" s="26">
        <v>350.0</v>
      </c>
      <c r="C84" s="28">
        <f>IFERROR(VLOOKUP(A84,'Market List'!$B:$F,5,FALSE),0)</f>
        <v>21.94444444</v>
      </c>
      <c r="D84" s="28">
        <f t="shared" si="7"/>
        <v>7680.555556</v>
      </c>
      <c r="E84" s="32"/>
    </row>
    <row r="85" ht="14.25" customHeight="1">
      <c r="A85" s="36" t="s">
        <v>430</v>
      </c>
      <c r="B85" s="37">
        <v>100.0</v>
      </c>
      <c r="C85" s="38">
        <f>IFERROR(VLOOKUP(A85,'Market List'!$B:$F,5,FALSE),0)</f>
        <v>3.15</v>
      </c>
      <c r="D85" s="38">
        <f t="shared" si="7"/>
        <v>315</v>
      </c>
      <c r="E85" s="41"/>
    </row>
    <row r="86" ht="14.25" customHeight="1">
      <c r="A86" s="156" t="s">
        <v>515</v>
      </c>
      <c r="B86" s="154"/>
      <c r="C86" s="154"/>
      <c r="D86" s="181">
        <f>SUM(D74:D85)</f>
        <v>77944.9441</v>
      </c>
      <c r="E86" s="155" t="s">
        <v>518</v>
      </c>
    </row>
    <row r="87" ht="14.25" customHeight="1"/>
    <row r="88" ht="14.25" customHeight="1">
      <c r="A88" s="147" t="s">
        <v>603</v>
      </c>
      <c r="B88" s="151">
        <f>IFERROR(D97/D88,0)</f>
        <v>141.4158304</v>
      </c>
      <c r="C88" s="152" t="s">
        <v>478</v>
      </c>
      <c r="D88" s="154">
        <f>SUM(B90:B96)*90%</f>
        <v>937.8</v>
      </c>
      <c r="E88" s="155" t="s">
        <v>24</v>
      </c>
    </row>
    <row r="89" ht="14.25" customHeight="1">
      <c r="A89" s="156" t="s">
        <v>420</v>
      </c>
      <c r="B89" s="154" t="s">
        <v>482</v>
      </c>
      <c r="C89" s="154" t="s">
        <v>483</v>
      </c>
      <c r="D89" s="154" t="s">
        <v>484</v>
      </c>
      <c r="E89" s="155" t="s">
        <v>17</v>
      </c>
    </row>
    <row r="90" ht="14.25" customHeight="1">
      <c r="A90" s="14" t="s">
        <v>540</v>
      </c>
      <c r="B90" s="15">
        <v>5.0</v>
      </c>
      <c r="C90" s="17">
        <f>IFERROR(VLOOKUP(A90,'Market List'!$B:$F,5,FALSE),0)</f>
        <v>211.6</v>
      </c>
      <c r="D90" s="17">
        <f t="shared" ref="D90:D96" si="8">IFERROR(B90*C90,0)</f>
        <v>1058</v>
      </c>
      <c r="E90" s="24"/>
    </row>
    <row r="91" ht="14.25" customHeight="1">
      <c r="A91" s="25" t="s">
        <v>466</v>
      </c>
      <c r="B91" s="26">
        <v>53.0</v>
      </c>
      <c r="C91" s="28">
        <f>IFERROR(VLOOKUP(A91,'Market List'!$B:$F,5,FALSE),0)</f>
        <v>38.42105263</v>
      </c>
      <c r="D91" s="28">
        <f t="shared" si="8"/>
        <v>2036.315789</v>
      </c>
      <c r="E91" s="32"/>
    </row>
    <row r="92" ht="14.25" customHeight="1">
      <c r="A92" s="25" t="s">
        <v>541</v>
      </c>
      <c r="B92" s="26">
        <v>225.0</v>
      </c>
      <c r="C92" s="28">
        <f>IFERROR(VLOOKUP(A92,'Market List'!$B:$F,5,FALSE),0)</f>
        <v>75.5</v>
      </c>
      <c r="D92" s="28">
        <f t="shared" si="8"/>
        <v>16987.5</v>
      </c>
      <c r="E92" s="32"/>
    </row>
    <row r="93" ht="14.25" customHeight="1">
      <c r="A93" s="25" t="s">
        <v>542</v>
      </c>
      <c r="B93" s="26">
        <v>243.0</v>
      </c>
      <c r="C93" s="28">
        <f>IFERROR(VLOOKUP(A93,'Market List'!$B:$F,5,FALSE),0)</f>
        <v>130</v>
      </c>
      <c r="D93" s="28">
        <f t="shared" si="8"/>
        <v>31590</v>
      </c>
      <c r="E93" s="32"/>
    </row>
    <row r="94" ht="14.25" customHeight="1">
      <c r="A94" s="25" t="s">
        <v>543</v>
      </c>
      <c r="B94" s="26">
        <v>66.0</v>
      </c>
      <c r="C94" s="28">
        <f>IFERROR(VLOOKUP(A94,'Market List'!$B:$F,5,FALSE),0)</f>
        <v>18</v>
      </c>
      <c r="D94" s="28">
        <f t="shared" si="8"/>
        <v>1188</v>
      </c>
      <c r="E94" s="32"/>
    </row>
    <row r="95" ht="14.25" customHeight="1">
      <c r="A95" s="25" t="s">
        <v>544</v>
      </c>
      <c r="B95" s="26">
        <v>350.0</v>
      </c>
      <c r="C95" s="28">
        <f>IFERROR(VLOOKUP(A95,'Market List'!$B:$F,5,FALSE),0)</f>
        <v>136</v>
      </c>
      <c r="D95" s="28">
        <f t="shared" si="8"/>
        <v>47600</v>
      </c>
      <c r="E95" s="32"/>
    </row>
    <row r="96" ht="14.25" customHeight="1">
      <c r="A96" s="36" t="s">
        <v>545</v>
      </c>
      <c r="B96" s="37">
        <v>100.0</v>
      </c>
      <c r="C96" s="38">
        <f>IFERROR(VLOOKUP(A96,'Market List'!$B:$F,5,FALSE),0)</f>
        <v>321.5995</v>
      </c>
      <c r="D96" s="38">
        <f t="shared" si="8"/>
        <v>32159.95</v>
      </c>
      <c r="E96" s="41"/>
    </row>
    <row r="97" ht="14.25" customHeight="1">
      <c r="A97" s="156" t="s">
        <v>515</v>
      </c>
      <c r="B97" s="154"/>
      <c r="C97" s="154"/>
      <c r="D97" s="181">
        <f>SUM(D90:D96)</f>
        <v>132619.7658</v>
      </c>
      <c r="E97" s="155" t="s">
        <v>608</v>
      </c>
    </row>
    <row r="98" ht="14.25" customHeight="1"/>
    <row r="99" ht="14.25" customHeight="1">
      <c r="A99" s="147" t="s">
        <v>258</v>
      </c>
      <c r="B99" s="151">
        <f>IFERROR(D107/D99,0)</f>
        <v>108.4579152</v>
      </c>
      <c r="C99" s="152" t="s">
        <v>478</v>
      </c>
      <c r="D99" s="154">
        <f>SUM(B101:B106)</f>
        <v>200</v>
      </c>
      <c r="E99" s="155" t="s">
        <v>24</v>
      </c>
    </row>
    <row r="100" ht="14.25" customHeight="1">
      <c r="A100" s="156" t="s">
        <v>420</v>
      </c>
      <c r="B100" s="154" t="s">
        <v>482</v>
      </c>
      <c r="C100" s="154" t="s">
        <v>483</v>
      </c>
      <c r="D100" s="154" t="s">
        <v>484</v>
      </c>
      <c r="E100" s="155" t="s">
        <v>17</v>
      </c>
    </row>
    <row r="101" ht="14.25" customHeight="1">
      <c r="A101" s="14" t="s">
        <v>603</v>
      </c>
      <c r="B101" s="15">
        <v>100.0</v>
      </c>
      <c r="C101" s="17">
        <f>'WIP FOOD'!$B$88</f>
        <v>141.4158304</v>
      </c>
      <c r="D101" s="17">
        <f t="shared" ref="D101:D106" si="9">IFERROR(B101*C101,0)</f>
        <v>14141.58304</v>
      </c>
      <c r="E101" s="24"/>
    </row>
    <row r="102" ht="14.25" customHeight="1">
      <c r="A102" s="25" t="s">
        <v>541</v>
      </c>
      <c r="B102" s="26">
        <v>100.0</v>
      </c>
      <c r="C102" s="28">
        <f>IFERROR(VLOOKUP(A102,'Market List'!$B:$F,5,FALSE),0)</f>
        <v>75.5</v>
      </c>
      <c r="D102" s="28">
        <f t="shared" si="9"/>
        <v>7550</v>
      </c>
      <c r="E102" s="32"/>
    </row>
    <row r="103" ht="14.25" customHeight="1">
      <c r="A103" s="25"/>
      <c r="B103" s="26"/>
      <c r="C103" s="28"/>
      <c r="D103" s="28">
        <f t="shared" si="9"/>
        <v>0</v>
      </c>
      <c r="E103" s="32"/>
    </row>
    <row r="104" ht="14.25" customHeight="1">
      <c r="A104" s="25"/>
      <c r="B104" s="26"/>
      <c r="C104" s="28"/>
      <c r="D104" s="28">
        <f t="shared" si="9"/>
        <v>0</v>
      </c>
      <c r="E104" s="32"/>
    </row>
    <row r="105" ht="14.25" customHeight="1">
      <c r="A105" s="25"/>
      <c r="B105" s="26"/>
      <c r="C105" s="28"/>
      <c r="D105" s="28">
        <f t="shared" si="9"/>
        <v>0</v>
      </c>
      <c r="E105" s="32"/>
    </row>
    <row r="106" ht="14.25" customHeight="1">
      <c r="A106" s="36"/>
      <c r="B106" s="37"/>
      <c r="C106" s="38"/>
      <c r="D106" s="38">
        <f t="shared" si="9"/>
        <v>0</v>
      </c>
      <c r="E106" s="41"/>
    </row>
    <row r="107" ht="14.25" customHeight="1">
      <c r="A107" s="156" t="s">
        <v>515</v>
      </c>
      <c r="B107" s="154"/>
      <c r="C107" s="154"/>
      <c r="D107" s="181">
        <f>SUM(D101:D106)</f>
        <v>21691.58304</v>
      </c>
      <c r="E107" s="155" t="s">
        <v>611</v>
      </c>
    </row>
    <row r="108" ht="14.25" customHeight="1"/>
    <row r="109" ht="14.25" customHeight="1">
      <c r="A109" s="147" t="s">
        <v>223</v>
      </c>
      <c r="B109" s="151">
        <f>IFERROR(D117/D109,0)</f>
        <v>76.64166865</v>
      </c>
      <c r="C109" s="152" t="s">
        <v>478</v>
      </c>
      <c r="D109" s="154">
        <f>SUM(B111:B116)*90%</f>
        <v>296.1</v>
      </c>
      <c r="E109" s="155" t="s">
        <v>24</v>
      </c>
    </row>
    <row r="110" ht="14.25" customHeight="1">
      <c r="A110" s="156" t="s">
        <v>420</v>
      </c>
      <c r="B110" s="154" t="s">
        <v>482</v>
      </c>
      <c r="C110" s="154" t="s">
        <v>483</v>
      </c>
      <c r="D110" s="154" t="s">
        <v>484</v>
      </c>
      <c r="E110" s="155" t="s">
        <v>17</v>
      </c>
    </row>
    <row r="111" ht="14.25" customHeight="1">
      <c r="A111" s="14" t="s">
        <v>466</v>
      </c>
      <c r="B111" s="15">
        <v>126.0</v>
      </c>
      <c r="C111" s="17">
        <f>IFERROR(VLOOKUP(A111,'Market List'!$B:$F,5,FALSE),0)</f>
        <v>38.42105263</v>
      </c>
      <c r="D111" s="17">
        <f t="shared" ref="D111:D116" si="10">IFERROR(B111*C111,0)</f>
        <v>4841.052632</v>
      </c>
      <c r="E111" s="24"/>
    </row>
    <row r="112" ht="14.25" customHeight="1">
      <c r="A112" s="25" t="s">
        <v>543</v>
      </c>
      <c r="B112" s="26">
        <v>90.0</v>
      </c>
      <c r="C112" s="28">
        <f>IFERROR(VLOOKUP(A112,'Market List'!$B:$F,5,FALSE),0)</f>
        <v>18</v>
      </c>
      <c r="D112" s="28">
        <f t="shared" si="10"/>
        <v>1620</v>
      </c>
      <c r="E112" s="32"/>
    </row>
    <row r="113" ht="14.25" customHeight="1">
      <c r="A113" s="25" t="s">
        <v>546</v>
      </c>
      <c r="B113" s="26">
        <v>37.0</v>
      </c>
      <c r="C113" s="28">
        <f>IFERROR(VLOOKUP(A113,'Market List'!$B:$F,5,FALSE),0)</f>
        <v>283.6363636</v>
      </c>
      <c r="D113" s="28">
        <f t="shared" si="10"/>
        <v>10494.54545</v>
      </c>
      <c r="E113" s="32"/>
    </row>
    <row r="114" ht="14.25" customHeight="1">
      <c r="A114" s="25" t="s">
        <v>547</v>
      </c>
      <c r="B114" s="26">
        <v>76.0</v>
      </c>
      <c r="C114" s="28">
        <f>IFERROR(VLOOKUP(A114,'Market List'!$B:$F,5,FALSE),0)</f>
        <v>75.5</v>
      </c>
      <c r="D114" s="28">
        <f t="shared" si="10"/>
        <v>5738</v>
      </c>
      <c r="E114" s="32"/>
    </row>
    <row r="115" ht="14.25" customHeight="1">
      <c r="A115" s="25"/>
      <c r="B115" s="26"/>
      <c r="C115" s="28"/>
      <c r="D115" s="28">
        <f t="shared" si="10"/>
        <v>0</v>
      </c>
      <c r="E115" s="32"/>
    </row>
    <row r="116" ht="14.25" customHeight="1">
      <c r="A116" s="36"/>
      <c r="B116" s="37"/>
      <c r="C116" s="38"/>
      <c r="D116" s="38">
        <f t="shared" si="10"/>
        <v>0</v>
      </c>
      <c r="E116" s="41"/>
    </row>
    <row r="117" ht="14.25" customHeight="1">
      <c r="A117" s="156" t="s">
        <v>515</v>
      </c>
      <c r="B117" s="154"/>
      <c r="C117" s="154"/>
      <c r="D117" s="181">
        <f>SUM(D111:D116)</f>
        <v>22693.59809</v>
      </c>
      <c r="E117" s="155" t="s">
        <v>614</v>
      </c>
    </row>
    <row r="118" ht="14.25" customHeight="1"/>
    <row r="119" ht="14.25" customHeight="1">
      <c r="A119" s="147" t="s">
        <v>58</v>
      </c>
      <c r="B119" s="151">
        <f>IFERROR(D128/D119,0)</f>
        <v>13.9768795</v>
      </c>
      <c r="C119" s="152" t="s">
        <v>478</v>
      </c>
      <c r="D119" s="154">
        <f>SUM(B121:B127)</f>
        <v>2663</v>
      </c>
      <c r="E119" s="155" t="s">
        <v>582</v>
      </c>
    </row>
    <row r="120" ht="14.25" customHeight="1">
      <c r="A120" s="156" t="s">
        <v>420</v>
      </c>
      <c r="B120" s="154" t="s">
        <v>482</v>
      </c>
      <c r="C120" s="154" t="s">
        <v>483</v>
      </c>
      <c r="D120" s="154" t="s">
        <v>484</v>
      </c>
      <c r="E120" s="155" t="s">
        <v>17</v>
      </c>
    </row>
    <row r="121" ht="14.25" customHeight="1">
      <c r="A121" s="14" t="s">
        <v>232</v>
      </c>
      <c r="B121" s="15">
        <v>1200.0</v>
      </c>
      <c r="C121" s="17">
        <f>IFERROR(VLOOKUP(A121,'Market List'!$B:$F,5,FALSE),0)</f>
        <v>17.5</v>
      </c>
      <c r="D121" s="17">
        <f t="shared" ref="D121:D127" si="11">IFERROR(B121*C121,0)</f>
        <v>21000</v>
      </c>
      <c r="E121" s="24" t="s">
        <v>617</v>
      </c>
    </row>
    <row r="122" ht="14.25" customHeight="1">
      <c r="A122" s="25" t="s">
        <v>425</v>
      </c>
      <c r="B122" s="26">
        <v>30.0</v>
      </c>
      <c r="C122" s="28">
        <f>IFERROR(VLOOKUP(A122,'Market List'!$B:$F,5,FALSE),0)</f>
        <v>16</v>
      </c>
      <c r="D122" s="28">
        <f t="shared" si="11"/>
        <v>480</v>
      </c>
      <c r="E122" s="32" t="s">
        <v>618</v>
      </c>
    </row>
    <row r="123" ht="14.25" customHeight="1">
      <c r="A123" s="25" t="s">
        <v>426</v>
      </c>
      <c r="B123" s="26">
        <v>3.0</v>
      </c>
      <c r="C123" s="28">
        <f>IFERROR(VLOOKUP(A123,'Market List'!$B:$F,5,FALSE),0)</f>
        <v>140</v>
      </c>
      <c r="D123" s="28">
        <f t="shared" si="11"/>
        <v>420</v>
      </c>
      <c r="E123" s="32" t="s">
        <v>619</v>
      </c>
    </row>
    <row r="124" ht="14.25" customHeight="1">
      <c r="A124" s="25" t="s">
        <v>427</v>
      </c>
      <c r="B124" s="26">
        <v>100.0</v>
      </c>
      <c r="C124" s="28">
        <f>IFERROR(VLOOKUP(A124,'Market List'!$B:$F,5,FALSE),0)</f>
        <v>48.83333333</v>
      </c>
      <c r="D124" s="28">
        <f t="shared" si="11"/>
        <v>4883.333333</v>
      </c>
      <c r="E124" s="32" t="s">
        <v>621</v>
      </c>
    </row>
    <row r="125" ht="14.25" customHeight="1">
      <c r="A125" s="25" t="s">
        <v>428</v>
      </c>
      <c r="B125" s="26">
        <v>300.0</v>
      </c>
      <c r="C125" s="28">
        <f>IFERROR(VLOOKUP(A125,'Market List'!$B:$F,5,FALSE),0)</f>
        <v>18</v>
      </c>
      <c r="D125" s="28">
        <f t="shared" si="11"/>
        <v>5400</v>
      </c>
      <c r="E125" s="32"/>
    </row>
    <row r="126" ht="14.25" customHeight="1">
      <c r="A126" s="25" t="s">
        <v>429</v>
      </c>
      <c r="B126" s="26">
        <v>30.0</v>
      </c>
      <c r="C126" s="28">
        <f>IFERROR(VLOOKUP(A126,'Market List'!$B:$F,5,FALSE),0)</f>
        <v>62.90322581</v>
      </c>
      <c r="D126" s="28">
        <f t="shared" si="11"/>
        <v>1887.096774</v>
      </c>
      <c r="E126" s="32"/>
    </row>
    <row r="127" ht="14.25" customHeight="1">
      <c r="A127" s="36" t="s">
        <v>430</v>
      </c>
      <c r="B127" s="37">
        <v>1000.0</v>
      </c>
      <c r="C127" s="38">
        <f>IFERROR(VLOOKUP(A127,'Market List'!$B:$F,5,FALSE),0)</f>
        <v>3.15</v>
      </c>
      <c r="D127" s="38">
        <f t="shared" si="11"/>
        <v>3150</v>
      </c>
      <c r="E127" s="41"/>
    </row>
    <row r="128" ht="14.25" customHeight="1">
      <c r="A128" s="156" t="s">
        <v>515</v>
      </c>
      <c r="B128" s="154"/>
      <c r="C128" s="154"/>
      <c r="D128" s="181">
        <f>SUM(D121:D127)</f>
        <v>37220.43011</v>
      </c>
      <c r="E128" s="155" t="s">
        <v>518</v>
      </c>
    </row>
    <row r="129" ht="14.25" customHeight="1"/>
    <row r="130" ht="14.25" customHeight="1">
      <c r="A130" s="147" t="s">
        <v>604</v>
      </c>
      <c r="B130" s="151">
        <f>IFERROR(D138/D130,0)</f>
        <v>9.39484127</v>
      </c>
      <c r="C130" s="152" t="s">
        <v>478</v>
      </c>
      <c r="D130" s="154">
        <f>SUM(B132:B137)*90%</f>
        <v>1008</v>
      </c>
      <c r="E130" s="155" t="s">
        <v>582</v>
      </c>
    </row>
    <row r="131" ht="14.25" customHeight="1">
      <c r="A131" s="156" t="s">
        <v>420</v>
      </c>
      <c r="B131" s="154" t="s">
        <v>482</v>
      </c>
      <c r="C131" s="154" t="s">
        <v>483</v>
      </c>
      <c r="D131" s="154" t="s">
        <v>484</v>
      </c>
      <c r="E131" s="155" t="s">
        <v>17</v>
      </c>
    </row>
    <row r="132" ht="14.25" customHeight="1">
      <c r="A132" s="14" t="s">
        <v>496</v>
      </c>
      <c r="B132" s="15">
        <v>1000.0</v>
      </c>
      <c r="C132" s="17">
        <f>IFERROR(VLOOKUP(A132,'Market List'!$B:$F,5,FALSE),0)</f>
        <v>0</v>
      </c>
      <c r="D132" s="17">
        <f t="shared" ref="D132:D137" si="12">IFERROR(B132*C132,0)</f>
        <v>0</v>
      </c>
      <c r="E132" s="24" t="s">
        <v>624</v>
      </c>
    </row>
    <row r="133" ht="14.25" customHeight="1">
      <c r="A133" s="25" t="s">
        <v>443</v>
      </c>
      <c r="B133" s="26">
        <v>80.0</v>
      </c>
      <c r="C133" s="28">
        <f>IFERROR(VLOOKUP(A133,'Market List'!$B:$F,5,FALSE),0)</f>
        <v>75</v>
      </c>
      <c r="D133" s="28">
        <f t="shared" si="12"/>
        <v>6000</v>
      </c>
      <c r="E133" s="32" t="s">
        <v>626</v>
      </c>
    </row>
    <row r="134" ht="14.25" customHeight="1">
      <c r="A134" s="25" t="s">
        <v>433</v>
      </c>
      <c r="B134" s="26">
        <v>20.0</v>
      </c>
      <c r="C134" s="28">
        <f>IFERROR(VLOOKUP(A134,'Market List'!$B:$F,5,FALSE),0)</f>
        <v>155.5</v>
      </c>
      <c r="D134" s="28">
        <f t="shared" si="12"/>
        <v>3110</v>
      </c>
      <c r="E134" s="32"/>
    </row>
    <row r="135" ht="14.25" customHeight="1">
      <c r="A135" s="25" t="s">
        <v>436</v>
      </c>
      <c r="B135" s="26">
        <v>20.0</v>
      </c>
      <c r="C135" s="28">
        <f>IFERROR(VLOOKUP(A135,'Market List'!$B:$F,5,FALSE),0)</f>
        <v>18</v>
      </c>
      <c r="D135" s="28">
        <f t="shared" si="12"/>
        <v>360</v>
      </c>
      <c r="E135" s="32"/>
    </row>
    <row r="136" ht="14.25" customHeight="1">
      <c r="A136" s="25"/>
      <c r="B136" s="26"/>
      <c r="C136" s="28"/>
      <c r="D136" s="28">
        <f t="shared" si="12"/>
        <v>0</v>
      </c>
      <c r="E136" s="32"/>
    </row>
    <row r="137" ht="14.25" customHeight="1">
      <c r="A137" s="36"/>
      <c r="B137" s="37"/>
      <c r="C137" s="38"/>
      <c r="D137" s="38">
        <f t="shared" si="12"/>
        <v>0</v>
      </c>
      <c r="E137" s="41"/>
    </row>
    <row r="138" ht="14.25" customHeight="1">
      <c r="A138" s="156" t="s">
        <v>515</v>
      </c>
      <c r="B138" s="154"/>
      <c r="C138" s="154"/>
      <c r="D138" s="181">
        <f>SUM(D132:D137)</f>
        <v>9470</v>
      </c>
      <c r="E138" s="155" t="s">
        <v>518</v>
      </c>
    </row>
    <row r="139" ht="14.25" customHeight="1"/>
    <row r="140" ht="14.25" customHeight="1">
      <c r="A140" s="147" t="s">
        <v>605</v>
      </c>
      <c r="B140" s="151">
        <f>IFERROR(D148/D140,0)</f>
        <v>52.90238682</v>
      </c>
      <c r="C140" s="152" t="s">
        <v>478</v>
      </c>
      <c r="D140" s="154">
        <f>SUM(B142:B147)</f>
        <v>150</v>
      </c>
      <c r="E140" s="155" t="s">
        <v>24</v>
      </c>
    </row>
    <row r="141" ht="14.25" customHeight="1">
      <c r="A141" s="156" t="s">
        <v>420</v>
      </c>
      <c r="B141" s="154" t="s">
        <v>482</v>
      </c>
      <c r="C141" s="154" t="s">
        <v>483</v>
      </c>
      <c r="D141" s="154" t="s">
        <v>484</v>
      </c>
      <c r="E141" s="155" t="s">
        <v>17</v>
      </c>
    </row>
    <row r="142" ht="14.25" customHeight="1">
      <c r="A142" s="14" t="s">
        <v>615</v>
      </c>
      <c r="B142" s="15">
        <v>100.0</v>
      </c>
      <c r="C142" s="17">
        <f>'WIP FOOD'!$B$462</f>
        <v>41.60358023</v>
      </c>
      <c r="D142" s="17">
        <f t="shared" ref="D142:D147" si="13">IFERROR(B142*C142,0)</f>
        <v>4160.358023</v>
      </c>
      <c r="E142" s="24"/>
    </row>
    <row r="143" ht="14.25" customHeight="1">
      <c r="A143" s="25" t="s">
        <v>541</v>
      </c>
      <c r="B143" s="26">
        <v>50.0</v>
      </c>
      <c r="C143" s="28">
        <f>IFERROR(VLOOKUP(A143,'Market List'!$B:$F,5,FALSE),0)</f>
        <v>75.5</v>
      </c>
      <c r="D143" s="28">
        <f t="shared" si="13"/>
        <v>3775</v>
      </c>
      <c r="E143" s="32"/>
    </row>
    <row r="144" ht="14.25" customHeight="1">
      <c r="A144" s="25"/>
      <c r="B144" s="26"/>
      <c r="C144" s="28"/>
      <c r="D144" s="28">
        <f t="shared" si="13"/>
        <v>0</v>
      </c>
      <c r="E144" s="32"/>
    </row>
    <row r="145" ht="14.25" customHeight="1">
      <c r="A145" s="25"/>
      <c r="B145" s="26"/>
      <c r="C145" s="28"/>
      <c r="D145" s="28">
        <f t="shared" si="13"/>
        <v>0</v>
      </c>
      <c r="E145" s="32"/>
    </row>
    <row r="146" ht="14.25" customHeight="1">
      <c r="A146" s="25"/>
      <c r="B146" s="26"/>
      <c r="C146" s="28"/>
      <c r="D146" s="28">
        <f t="shared" si="13"/>
        <v>0</v>
      </c>
      <c r="E146" s="32"/>
    </row>
    <row r="147" ht="14.25" customHeight="1">
      <c r="A147" s="36"/>
      <c r="B147" s="37"/>
      <c r="C147" s="38"/>
      <c r="D147" s="38">
        <f t="shared" si="13"/>
        <v>0</v>
      </c>
      <c r="E147" s="41"/>
    </row>
    <row r="148" ht="14.25" customHeight="1">
      <c r="A148" s="156" t="s">
        <v>515</v>
      </c>
      <c r="B148" s="154"/>
      <c r="C148" s="154"/>
      <c r="D148" s="181">
        <f>SUM(D142:D147)</f>
        <v>7935.358023</v>
      </c>
      <c r="E148" s="155" t="s">
        <v>630</v>
      </c>
    </row>
    <row r="149" ht="14.25" customHeight="1"/>
    <row r="150" ht="14.25" customHeight="1">
      <c r="A150" s="147" t="s">
        <v>190</v>
      </c>
      <c r="B150" s="151">
        <f>IFERROR(D164/D150,0)</f>
        <v>1131.091447</v>
      </c>
      <c r="C150" s="152" t="s">
        <v>478</v>
      </c>
      <c r="D150" s="154">
        <v>20.0</v>
      </c>
      <c r="E150" s="155" t="s">
        <v>22</v>
      </c>
    </row>
    <row r="151" ht="14.25" customHeight="1">
      <c r="A151" s="156" t="s">
        <v>420</v>
      </c>
      <c r="B151" s="154" t="s">
        <v>482</v>
      </c>
      <c r="C151" s="154" t="s">
        <v>483</v>
      </c>
      <c r="D151" s="154" t="s">
        <v>484</v>
      </c>
      <c r="E151" s="155" t="s">
        <v>17</v>
      </c>
    </row>
    <row r="152" ht="14.25" customHeight="1">
      <c r="A152" s="14" t="s">
        <v>560</v>
      </c>
      <c r="B152" s="15">
        <v>320.0</v>
      </c>
      <c r="C152" s="17">
        <f>IFERROR(VLOOKUP(A152,'Market List'!$B:$F,5,FALSE),0)</f>
        <v>13.5</v>
      </c>
      <c r="D152" s="17">
        <f t="shared" ref="D152:D163" si="14">IFERROR(B152*C152,0)</f>
        <v>4320</v>
      </c>
      <c r="E152" s="24"/>
    </row>
    <row r="153" ht="14.25" customHeight="1">
      <c r="A153" s="25" t="s">
        <v>564</v>
      </c>
      <c r="B153" s="26">
        <v>60.0</v>
      </c>
      <c r="C153" s="28">
        <f>IFERROR(VLOOKUP(A153,'Market List'!$B:$F,5,FALSE),0)</f>
        <v>13</v>
      </c>
      <c r="D153" s="28">
        <f t="shared" si="14"/>
        <v>780</v>
      </c>
      <c r="E153" s="32"/>
    </row>
    <row r="154" ht="14.25" customHeight="1">
      <c r="A154" s="25" t="s">
        <v>543</v>
      </c>
      <c r="B154" s="26">
        <v>85.0</v>
      </c>
      <c r="C154" s="28">
        <f>IFERROR(VLOOKUP(A154,'Market List'!$B:$F,5,FALSE),0)</f>
        <v>18</v>
      </c>
      <c r="D154" s="28">
        <f t="shared" si="14"/>
        <v>1530</v>
      </c>
      <c r="E154" s="32"/>
    </row>
    <row r="155" ht="14.25" customHeight="1">
      <c r="A155" s="25" t="s">
        <v>563</v>
      </c>
      <c r="B155" s="26">
        <v>15.0</v>
      </c>
      <c r="C155" s="28">
        <f>IFERROR(VLOOKUP(A155,'Market List'!$B:$F,5,FALSE),0)</f>
        <v>100</v>
      </c>
      <c r="D155" s="28">
        <f t="shared" si="14"/>
        <v>1500</v>
      </c>
      <c r="E155" s="32"/>
    </row>
    <row r="156" ht="14.25" customHeight="1">
      <c r="A156" s="25" t="s">
        <v>566</v>
      </c>
      <c r="B156" s="26">
        <v>15.0</v>
      </c>
      <c r="C156" s="28">
        <f>IFERROR(VLOOKUP(A156,'Market List'!$B:$F,5,FALSE),0)</f>
        <v>137.5</v>
      </c>
      <c r="D156" s="28">
        <f t="shared" si="14"/>
        <v>2062.5</v>
      </c>
      <c r="E156" s="32"/>
    </row>
    <row r="157" ht="14.25" customHeight="1">
      <c r="A157" s="25" t="s">
        <v>567</v>
      </c>
      <c r="B157" s="26">
        <v>5.0</v>
      </c>
      <c r="C157" s="28">
        <f>IFERROR(VLOOKUP(A157,'Market List'!$B:$F,5,FALSE),0)</f>
        <v>96</v>
      </c>
      <c r="D157" s="28">
        <f t="shared" si="14"/>
        <v>480</v>
      </c>
      <c r="E157" s="32"/>
    </row>
    <row r="158" ht="14.25" customHeight="1">
      <c r="A158" s="25" t="s">
        <v>561</v>
      </c>
      <c r="B158" s="26">
        <v>82.0</v>
      </c>
      <c r="C158" s="28">
        <f>IFERROR(VLOOKUP(A158,'Market List'!$B:$F,5,FALSE),0)</f>
        <v>25</v>
      </c>
      <c r="D158" s="28">
        <f t="shared" si="14"/>
        <v>2050</v>
      </c>
      <c r="E158" s="32"/>
    </row>
    <row r="159" ht="14.25" customHeight="1">
      <c r="A159" s="25" t="s">
        <v>554</v>
      </c>
      <c r="B159" s="26">
        <v>135.0</v>
      </c>
      <c r="C159" s="28">
        <f>IFERROR(VLOOKUP(A159,'Market List'!$B:$F,5,FALSE),0)</f>
        <v>3.15</v>
      </c>
      <c r="D159" s="28">
        <f t="shared" si="14"/>
        <v>425.25</v>
      </c>
      <c r="E159" s="32"/>
    </row>
    <row r="160" ht="14.25" customHeight="1">
      <c r="A160" s="25" t="s">
        <v>466</v>
      </c>
      <c r="B160" s="26">
        <v>18.0</v>
      </c>
      <c r="C160" s="28">
        <f>IFERROR(VLOOKUP(A160,'Market List'!$B:$F,5,FALSE),0)</f>
        <v>38.42105263</v>
      </c>
      <c r="D160" s="28">
        <f t="shared" si="14"/>
        <v>691.5789474</v>
      </c>
      <c r="E160" s="32"/>
    </row>
    <row r="161" ht="14.25" customHeight="1">
      <c r="A161" s="25" t="s">
        <v>547</v>
      </c>
      <c r="B161" s="26">
        <v>11.0</v>
      </c>
      <c r="C161" s="28">
        <f>IFERROR(VLOOKUP(A161,'Market List'!$B:$F,5,FALSE),0)</f>
        <v>75.5</v>
      </c>
      <c r="D161" s="28">
        <f t="shared" si="14"/>
        <v>830.5</v>
      </c>
      <c r="E161" s="32"/>
    </row>
    <row r="162" ht="14.25" customHeight="1">
      <c r="A162" s="25" t="s">
        <v>352</v>
      </c>
      <c r="B162" s="26">
        <v>56.0</v>
      </c>
      <c r="C162" s="28">
        <f>IFERROR(VLOOKUP(A162,'Market List'!$B:$F,5,FALSE),0)</f>
        <v>140</v>
      </c>
      <c r="D162" s="28">
        <f t="shared" si="14"/>
        <v>7840</v>
      </c>
      <c r="E162" s="32"/>
    </row>
    <row r="163" ht="14.25" customHeight="1">
      <c r="A163" s="36" t="s">
        <v>425</v>
      </c>
      <c r="B163" s="37">
        <v>7.0</v>
      </c>
      <c r="C163" s="38">
        <f>IFERROR(VLOOKUP(A163,'Market List'!$B:$F,5,FALSE),0)</f>
        <v>16</v>
      </c>
      <c r="D163" s="38">
        <f t="shared" si="14"/>
        <v>112</v>
      </c>
      <c r="E163" s="41"/>
    </row>
    <row r="164" ht="14.25" customHeight="1">
      <c r="A164" s="156" t="s">
        <v>515</v>
      </c>
      <c r="B164" s="154"/>
      <c r="C164" s="154"/>
      <c r="D164" s="181">
        <f>SUM(D152:D163)</f>
        <v>22621.82895</v>
      </c>
      <c r="E164" s="155" t="s">
        <v>632</v>
      </c>
    </row>
    <row r="165" ht="14.25" customHeight="1"/>
    <row r="166" ht="14.25" customHeight="1">
      <c r="A166" s="147" t="s">
        <v>387</v>
      </c>
      <c r="B166" s="151">
        <f>IFERROR(D178/D166,0)</f>
        <v>20.20893877</v>
      </c>
      <c r="C166" s="152" t="s">
        <v>478</v>
      </c>
      <c r="D166" s="154">
        <f>SUM(B168:B177)</f>
        <v>699</v>
      </c>
      <c r="E166" s="155" t="s">
        <v>582</v>
      </c>
    </row>
    <row r="167" ht="14.25" customHeight="1">
      <c r="A167" s="156" t="s">
        <v>420</v>
      </c>
      <c r="B167" s="154" t="s">
        <v>482</v>
      </c>
      <c r="C167" s="154" t="s">
        <v>483</v>
      </c>
      <c r="D167" s="154" t="s">
        <v>484</v>
      </c>
      <c r="E167" s="155" t="s">
        <v>17</v>
      </c>
    </row>
    <row r="168" ht="14.25" customHeight="1">
      <c r="A168" s="14" t="s">
        <v>531</v>
      </c>
      <c r="B168" s="15">
        <v>500.0</v>
      </c>
      <c r="C168" s="17">
        <f>IFERROR(VLOOKUP(A168,'Market List'!$B:$F,5,FALSE),0)</f>
        <v>13</v>
      </c>
      <c r="D168" s="17">
        <f t="shared" ref="D168:D177" si="15">IFERROR(B168*C168,0)</f>
        <v>6500</v>
      </c>
      <c r="E168" s="24" t="s">
        <v>492</v>
      </c>
    </row>
    <row r="169" ht="14.25" customHeight="1">
      <c r="A169" s="25" t="s">
        <v>532</v>
      </c>
      <c r="B169" s="26">
        <v>160.0</v>
      </c>
      <c r="C169" s="28">
        <f>IFERROR(VLOOKUP(A169,'Market List'!$B:$F,5,FALSE),0)</f>
        <v>22.5</v>
      </c>
      <c r="D169" s="28">
        <f t="shared" si="15"/>
        <v>3600</v>
      </c>
      <c r="E169" s="32"/>
    </row>
    <row r="170" ht="14.25" customHeight="1">
      <c r="A170" s="25" t="s">
        <v>533</v>
      </c>
      <c r="B170" s="26">
        <v>7.0</v>
      </c>
      <c r="C170" s="28">
        <f>IFERROR(VLOOKUP(A170,'Market List'!$B:$F,5,FALSE),0)</f>
        <v>111.1111111</v>
      </c>
      <c r="D170" s="28">
        <f t="shared" si="15"/>
        <v>777.7777778</v>
      </c>
      <c r="E170" s="32"/>
    </row>
    <row r="171" ht="14.25" customHeight="1">
      <c r="A171" s="25" t="s">
        <v>425</v>
      </c>
      <c r="B171" s="26">
        <v>7.0</v>
      </c>
      <c r="C171" s="28">
        <f>IFERROR(VLOOKUP(A171,'Market List'!$B:$F,5,FALSE),0)</f>
        <v>16</v>
      </c>
      <c r="D171" s="28">
        <f t="shared" si="15"/>
        <v>112</v>
      </c>
      <c r="E171" s="32"/>
    </row>
    <row r="172" ht="14.25" customHeight="1">
      <c r="A172" s="25" t="s">
        <v>523</v>
      </c>
      <c r="B172" s="26">
        <v>8.0</v>
      </c>
      <c r="C172" s="28">
        <f>IFERROR(VLOOKUP(A172,'Market List'!$B:$F,5,FALSE),0)</f>
        <v>82.466</v>
      </c>
      <c r="D172" s="28">
        <f t="shared" si="15"/>
        <v>659.728</v>
      </c>
      <c r="E172" s="32"/>
    </row>
    <row r="173" ht="14.25" customHeight="1">
      <c r="A173" s="25" t="s">
        <v>367</v>
      </c>
      <c r="B173" s="26">
        <v>3.0</v>
      </c>
      <c r="C173" s="28">
        <f>IFERROR(VLOOKUP(A173,'Market List'!$B:$F,5,FALSE),0)</f>
        <v>200</v>
      </c>
      <c r="D173" s="28">
        <f t="shared" si="15"/>
        <v>600</v>
      </c>
      <c r="E173" s="32"/>
    </row>
    <row r="174" ht="14.25" customHeight="1">
      <c r="A174" s="25" t="s">
        <v>398</v>
      </c>
      <c r="B174" s="26">
        <v>5.0</v>
      </c>
      <c r="C174" s="28">
        <f>IFERROR(VLOOKUP(A174,'Market List'!$B:$F,5,FALSE),0)</f>
        <v>43.18181818</v>
      </c>
      <c r="D174" s="28">
        <f t="shared" si="15"/>
        <v>215.9090909</v>
      </c>
      <c r="E174" s="32"/>
    </row>
    <row r="175" ht="14.25" customHeight="1">
      <c r="A175" s="25" t="s">
        <v>433</v>
      </c>
      <c r="B175" s="26">
        <v>5.0</v>
      </c>
      <c r="C175" s="28">
        <f>IFERROR(VLOOKUP(A175,'Market List'!$B:$F,5,FALSE),0)</f>
        <v>155.5</v>
      </c>
      <c r="D175" s="28">
        <f t="shared" si="15"/>
        <v>777.5</v>
      </c>
      <c r="E175" s="32"/>
    </row>
    <row r="176" ht="14.25" customHeight="1">
      <c r="A176" s="25" t="s">
        <v>524</v>
      </c>
      <c r="B176" s="26">
        <v>2.0</v>
      </c>
      <c r="C176" s="28">
        <f>IFERROR(VLOOKUP(A176,'Market List'!$B:$F,5,FALSE),0)</f>
        <v>89.9</v>
      </c>
      <c r="D176" s="28">
        <f t="shared" si="15"/>
        <v>179.8</v>
      </c>
      <c r="E176" s="32"/>
    </row>
    <row r="177" ht="14.25" customHeight="1">
      <c r="A177" s="36" t="s">
        <v>534</v>
      </c>
      <c r="B177" s="37">
        <v>2.0</v>
      </c>
      <c r="C177" s="38">
        <f>IFERROR(VLOOKUP(A177,'Market List'!$B:$F,5,FALSE),0)</f>
        <v>351.6666667</v>
      </c>
      <c r="D177" s="38">
        <f t="shared" si="15"/>
        <v>703.3333333</v>
      </c>
      <c r="E177" s="41"/>
    </row>
    <row r="178" ht="14.25" customHeight="1">
      <c r="A178" s="156" t="s">
        <v>515</v>
      </c>
      <c r="B178" s="154"/>
      <c r="C178" s="154"/>
      <c r="D178" s="181">
        <f>SUM(D168:D177)</f>
        <v>14126.0482</v>
      </c>
      <c r="E178" s="155" t="s">
        <v>518</v>
      </c>
    </row>
    <row r="179" ht="14.25" customHeight="1"/>
    <row r="180" ht="14.25" customHeight="1">
      <c r="A180" s="147" t="s">
        <v>355</v>
      </c>
      <c r="B180" s="151">
        <f>IFERROR(D189/D180,0)</f>
        <v>10969.45476</v>
      </c>
      <c r="C180" s="152" t="s">
        <v>478</v>
      </c>
      <c r="D180" s="154">
        <v>15.0</v>
      </c>
      <c r="E180" s="155" t="s">
        <v>478</v>
      </c>
    </row>
    <row r="181" ht="14.25" customHeight="1">
      <c r="A181" s="156" t="s">
        <v>420</v>
      </c>
      <c r="B181" s="154" t="s">
        <v>482</v>
      </c>
      <c r="C181" s="154" t="s">
        <v>483</v>
      </c>
      <c r="D181" s="154" t="s">
        <v>484</v>
      </c>
      <c r="E181" s="155" t="s">
        <v>17</v>
      </c>
    </row>
    <row r="182" ht="14.25" customHeight="1">
      <c r="A182" s="14" t="s">
        <v>28</v>
      </c>
      <c r="B182" s="15">
        <v>1000.0</v>
      </c>
      <c r="C182" s="17">
        <f>IFERROR(VLOOKUP(A182,'Market List'!$B:$F,5,FALSE),0)</f>
        <v>148</v>
      </c>
      <c r="D182" s="17">
        <f t="shared" ref="D182:D188" si="16">IFERROR(B182*C182,0)</f>
        <v>148000</v>
      </c>
      <c r="E182" s="24" t="s">
        <v>633</v>
      </c>
    </row>
    <row r="183" ht="14.25" customHeight="1">
      <c r="A183" s="25" t="s">
        <v>425</v>
      </c>
      <c r="B183" s="26">
        <v>10.0</v>
      </c>
      <c r="C183" s="28">
        <f>IFERROR(VLOOKUP(A183,'Market List'!$B:$F,5,FALSE),0)</f>
        <v>16</v>
      </c>
      <c r="D183" s="28">
        <f t="shared" si="16"/>
        <v>160</v>
      </c>
      <c r="E183" s="32" t="s">
        <v>634</v>
      </c>
    </row>
    <row r="184" ht="14.25" customHeight="1">
      <c r="A184" s="25" t="s">
        <v>367</v>
      </c>
      <c r="B184" s="26">
        <v>4.0</v>
      </c>
      <c r="C184" s="28">
        <f>IFERROR(VLOOKUP(A184,'Market List'!$B:$F,5,FALSE),0)</f>
        <v>200</v>
      </c>
      <c r="D184" s="28">
        <f t="shared" si="16"/>
        <v>800</v>
      </c>
      <c r="E184" s="32" t="s">
        <v>635</v>
      </c>
    </row>
    <row r="185" ht="14.25" customHeight="1">
      <c r="A185" s="25" t="s">
        <v>436</v>
      </c>
      <c r="B185" s="26">
        <v>2.0</v>
      </c>
      <c r="C185" s="28">
        <f>IFERROR(VLOOKUP(A185,'Market List'!$B:$F,5,FALSE),0)</f>
        <v>18</v>
      </c>
      <c r="D185" s="28">
        <f t="shared" si="16"/>
        <v>36</v>
      </c>
      <c r="E185" s="32" t="s">
        <v>636</v>
      </c>
    </row>
    <row r="186" ht="14.25" customHeight="1">
      <c r="A186" s="25" t="s">
        <v>501</v>
      </c>
      <c r="B186" s="26">
        <v>5.0</v>
      </c>
      <c r="C186" s="28">
        <f>IFERROR(VLOOKUP(A186,'Market List'!$B:$F,5,FALSE),0)</f>
        <v>1785.714286</v>
      </c>
      <c r="D186" s="28">
        <f t="shared" si="16"/>
        <v>8928.571429</v>
      </c>
      <c r="E186" s="32" t="s">
        <v>637</v>
      </c>
    </row>
    <row r="187" ht="14.25" customHeight="1">
      <c r="A187" s="25" t="s">
        <v>503</v>
      </c>
      <c r="B187" s="26">
        <v>1.0</v>
      </c>
      <c r="C187" s="28">
        <f>IFERROR(VLOOKUP(A187,'Market List'!$B:$F,5,FALSE),0)</f>
        <v>117.25</v>
      </c>
      <c r="D187" s="28">
        <f t="shared" si="16"/>
        <v>117.25</v>
      </c>
      <c r="E187" s="32"/>
    </row>
    <row r="188" ht="14.25" customHeight="1">
      <c r="A188" s="36" t="s">
        <v>505</v>
      </c>
      <c r="B188" s="37">
        <v>500.0</v>
      </c>
      <c r="C188" s="38">
        <f>IFERROR(VLOOKUP(A188,'Market List'!$B:$F,5,FALSE),0)</f>
        <v>13</v>
      </c>
      <c r="D188" s="38">
        <f t="shared" si="16"/>
        <v>6500</v>
      </c>
      <c r="E188" s="41"/>
    </row>
    <row r="189" ht="14.25" customHeight="1">
      <c r="A189" s="156" t="s">
        <v>515</v>
      </c>
      <c r="B189" s="154"/>
      <c r="C189" s="154"/>
      <c r="D189" s="181">
        <f>SUM(D182:D188)</f>
        <v>164541.8214</v>
      </c>
      <c r="E189" s="155" t="s">
        <v>518</v>
      </c>
    </row>
    <row r="190" ht="14.25" customHeight="1"/>
    <row r="191" ht="14.25" customHeight="1">
      <c r="A191" s="147" t="s">
        <v>278</v>
      </c>
      <c r="B191" s="151">
        <f>IFERROR(D205/D191,0)</f>
        <v>10658.2619</v>
      </c>
      <c r="C191" s="152" t="s">
        <v>478</v>
      </c>
      <c r="D191" s="154">
        <v>15.0</v>
      </c>
      <c r="E191" s="155" t="s">
        <v>478</v>
      </c>
    </row>
    <row r="192" ht="14.25" customHeight="1">
      <c r="A192" s="156" t="s">
        <v>420</v>
      </c>
      <c r="B192" s="154" t="s">
        <v>482</v>
      </c>
      <c r="C192" s="154" t="s">
        <v>483</v>
      </c>
      <c r="D192" s="154" t="s">
        <v>484</v>
      </c>
      <c r="E192" s="155" t="s">
        <v>17</v>
      </c>
    </row>
    <row r="193" ht="14.25" customHeight="1">
      <c r="A193" s="14" t="s">
        <v>28</v>
      </c>
      <c r="B193" s="15">
        <v>1000.0</v>
      </c>
      <c r="C193" s="17">
        <f>IFERROR(VLOOKUP(A193,'Market List'!$B:$F,5,FALSE),0)</f>
        <v>148</v>
      </c>
      <c r="D193" s="17">
        <f t="shared" ref="D193:D204" si="17">IFERROR(B193*C193,0)</f>
        <v>148000</v>
      </c>
      <c r="E193" s="24" t="s">
        <v>638</v>
      </c>
    </row>
    <row r="194" ht="14.25" customHeight="1">
      <c r="A194" s="25" t="s">
        <v>38</v>
      </c>
      <c r="B194" s="26">
        <v>5.0</v>
      </c>
      <c r="C194" s="28">
        <f>IFERROR(VLOOKUP(A194,'Market List'!$B:$F,5,FALSE),0)</f>
        <v>185</v>
      </c>
      <c r="D194" s="28">
        <f t="shared" si="17"/>
        <v>925</v>
      </c>
      <c r="E194" s="32" t="s">
        <v>639</v>
      </c>
    </row>
    <row r="195" ht="14.25" customHeight="1">
      <c r="A195" s="25" t="s">
        <v>346</v>
      </c>
      <c r="B195" s="26">
        <v>2.0</v>
      </c>
      <c r="C195" s="28">
        <f>IFERROR(VLOOKUP(A195,'Market List'!$B:$F,5,FALSE),0)</f>
        <v>1785.714286</v>
      </c>
      <c r="D195" s="28">
        <f t="shared" si="17"/>
        <v>3571.428571</v>
      </c>
      <c r="E195" s="32" t="s">
        <v>640</v>
      </c>
    </row>
    <row r="196" ht="14.25" customHeight="1">
      <c r="A196" s="25" t="s">
        <v>103</v>
      </c>
      <c r="B196" s="26">
        <v>60.0</v>
      </c>
      <c r="C196" s="28">
        <f>IFERROR(VLOOKUP(A196,'Market List'!$B:$F,5,FALSE),0)</f>
        <v>35</v>
      </c>
      <c r="D196" s="28">
        <f t="shared" si="17"/>
        <v>2100</v>
      </c>
      <c r="E196" s="32"/>
    </row>
    <row r="197" ht="14.25" customHeight="1">
      <c r="A197" s="25" t="s">
        <v>437</v>
      </c>
      <c r="B197" s="26">
        <v>15.0</v>
      </c>
      <c r="C197" s="28">
        <f>IFERROR(VLOOKUP(A197,'Market List'!$B:$F,5,FALSE),0)</f>
        <v>45</v>
      </c>
      <c r="D197" s="28">
        <f t="shared" si="17"/>
        <v>675</v>
      </c>
      <c r="E197" s="32"/>
    </row>
    <row r="198" ht="14.25" customHeight="1">
      <c r="A198" s="25" t="s">
        <v>425</v>
      </c>
      <c r="B198" s="26">
        <v>1.0</v>
      </c>
      <c r="C198" s="28">
        <f>IFERROR(VLOOKUP(A198,'Market List'!$B:$F,5,FALSE),0)</f>
        <v>16</v>
      </c>
      <c r="D198" s="28">
        <f t="shared" si="17"/>
        <v>16</v>
      </c>
      <c r="E198" s="32"/>
    </row>
    <row r="199" ht="14.25" customHeight="1">
      <c r="A199" s="25" t="s">
        <v>433</v>
      </c>
      <c r="B199" s="26">
        <v>3.0</v>
      </c>
      <c r="C199" s="28">
        <f>IFERROR(VLOOKUP(A199,'Market List'!$B:$F,5,FALSE),0)</f>
        <v>155.5</v>
      </c>
      <c r="D199" s="28">
        <f t="shared" si="17"/>
        <v>466.5</v>
      </c>
      <c r="E199" s="32"/>
    </row>
    <row r="200" ht="14.25" customHeight="1">
      <c r="A200" s="25" t="s">
        <v>331</v>
      </c>
      <c r="B200" s="26">
        <v>10.0</v>
      </c>
      <c r="C200" s="28">
        <f>IFERROR(VLOOKUP(A200,'Market List'!$B:$F,5,FALSE),0)</f>
        <v>16</v>
      </c>
      <c r="D200" s="28">
        <f t="shared" si="17"/>
        <v>160</v>
      </c>
      <c r="E200" s="32"/>
    </row>
    <row r="201" ht="14.25" customHeight="1">
      <c r="A201" s="25" t="s">
        <v>477</v>
      </c>
      <c r="B201" s="26">
        <v>20.0</v>
      </c>
      <c r="C201" s="28">
        <f>IFERROR(VLOOKUP(A201,'Market List'!$B:$F,5,FALSE),0)</f>
        <v>117.25</v>
      </c>
      <c r="D201" s="28">
        <f t="shared" si="17"/>
        <v>2345</v>
      </c>
      <c r="E201" s="32"/>
    </row>
    <row r="202" ht="14.25" customHeight="1">
      <c r="A202" s="25" t="s">
        <v>44</v>
      </c>
      <c r="B202" s="26">
        <v>2.0</v>
      </c>
      <c r="C202" s="28">
        <f>IFERROR(VLOOKUP(A202,'Market List'!$B:$F,5,FALSE),0)</f>
        <v>496</v>
      </c>
      <c r="D202" s="28">
        <f t="shared" si="17"/>
        <v>992</v>
      </c>
      <c r="E202" s="32"/>
    </row>
    <row r="203" ht="14.25" customHeight="1">
      <c r="A203" s="25" t="s">
        <v>479</v>
      </c>
      <c r="B203" s="26">
        <v>130.0</v>
      </c>
      <c r="C203" s="28">
        <f>IFERROR(VLOOKUP(A203,'Market List'!$B:$F,5,FALSE),0)</f>
        <v>2.7</v>
      </c>
      <c r="D203" s="28">
        <f t="shared" si="17"/>
        <v>351</v>
      </c>
      <c r="E203" s="32"/>
    </row>
    <row r="204" ht="14.25" customHeight="1">
      <c r="A204" s="36" t="s">
        <v>412</v>
      </c>
      <c r="B204" s="37">
        <v>2.0</v>
      </c>
      <c r="C204" s="38">
        <f>IFERROR(VLOOKUP(A204,'Market List'!$B:$F,5,FALSE),0)</f>
        <v>136</v>
      </c>
      <c r="D204" s="38">
        <f t="shared" si="17"/>
        <v>272</v>
      </c>
      <c r="E204" s="41"/>
    </row>
    <row r="205" ht="14.25" customHeight="1">
      <c r="A205" s="156" t="s">
        <v>515</v>
      </c>
      <c r="B205" s="154"/>
      <c r="C205" s="154"/>
      <c r="D205" s="181">
        <f>SUM(D193:D204)</f>
        <v>159873.9286</v>
      </c>
      <c r="E205" s="155" t="s">
        <v>518</v>
      </c>
    </row>
    <row r="206" ht="14.25" customHeight="1"/>
    <row r="207" ht="14.25" customHeight="1">
      <c r="A207" s="147" t="s">
        <v>216</v>
      </c>
      <c r="B207" s="151">
        <f>IFERROR(D216/D207,0)</f>
        <v>45.45739175</v>
      </c>
      <c r="C207" s="152" t="s">
        <v>478</v>
      </c>
      <c r="D207" s="154">
        <f>SUM(B209:B215)</f>
        <v>2924</v>
      </c>
      <c r="E207" s="155" t="s">
        <v>582</v>
      </c>
    </row>
    <row r="208" ht="14.25" customHeight="1">
      <c r="A208" s="156" t="s">
        <v>420</v>
      </c>
      <c r="B208" s="154" t="s">
        <v>482</v>
      </c>
      <c r="C208" s="154" t="s">
        <v>483</v>
      </c>
      <c r="D208" s="154" t="s">
        <v>484</v>
      </c>
      <c r="E208" s="155" t="s">
        <v>17</v>
      </c>
    </row>
    <row r="209" ht="14.25" customHeight="1">
      <c r="A209" s="14" t="s">
        <v>431</v>
      </c>
      <c r="B209" s="15">
        <v>1000.0</v>
      </c>
      <c r="C209" s="17">
        <f>IFERROR(VLOOKUP(A209,'Market List'!$B:$F,5,FALSE),0)</f>
        <v>25</v>
      </c>
      <c r="D209" s="17">
        <f t="shared" ref="D209:D215" si="18">IFERROR(B209*C209,0)</f>
        <v>25000</v>
      </c>
      <c r="E209" s="24" t="s">
        <v>641</v>
      </c>
    </row>
    <row r="210" ht="14.25" customHeight="1">
      <c r="A210" s="25" t="s">
        <v>432</v>
      </c>
      <c r="B210" s="26">
        <v>1200.0</v>
      </c>
      <c r="C210" s="28">
        <f>IFERROR(VLOOKUP(A210,'Market List'!$B:$F,5,FALSE),0)</f>
        <v>72.3</v>
      </c>
      <c r="D210" s="28">
        <f t="shared" si="18"/>
        <v>86760</v>
      </c>
      <c r="E210" s="32" t="s">
        <v>642</v>
      </c>
    </row>
    <row r="211" ht="14.25" customHeight="1">
      <c r="A211" s="25" t="s">
        <v>58</v>
      </c>
      <c r="B211" s="26">
        <v>220.0</v>
      </c>
      <c r="C211" s="28">
        <f>'WIP FOOD'!$B$119</f>
        <v>13.9768795</v>
      </c>
      <c r="D211" s="28">
        <f t="shared" si="18"/>
        <v>3074.91349</v>
      </c>
      <c r="E211" s="32" t="s">
        <v>643</v>
      </c>
    </row>
    <row r="212" ht="14.25" customHeight="1">
      <c r="A212" s="25" t="s">
        <v>103</v>
      </c>
      <c r="B212" s="26">
        <v>500.0</v>
      </c>
      <c r="C212" s="28">
        <f>IFERROR(VLOOKUP(A212,'Market List'!$B:$F,5,FALSE),0)</f>
        <v>35</v>
      </c>
      <c r="D212" s="28">
        <f t="shared" si="18"/>
        <v>17500</v>
      </c>
      <c r="E212" s="32" t="s">
        <v>644</v>
      </c>
    </row>
    <row r="213" ht="14.25" customHeight="1">
      <c r="A213" s="25" t="s">
        <v>367</v>
      </c>
      <c r="B213" s="26" t="s">
        <v>370</v>
      </c>
      <c r="C213" s="28">
        <f>IFERROR(VLOOKUP(A213,'Market List'!$B:$F,5,FALSE),0)</f>
        <v>200</v>
      </c>
      <c r="D213" s="28">
        <f t="shared" si="18"/>
        <v>100</v>
      </c>
      <c r="E213" s="32" t="s">
        <v>645</v>
      </c>
    </row>
    <row r="214" ht="14.25" customHeight="1">
      <c r="A214" s="25" t="s">
        <v>425</v>
      </c>
      <c r="B214" s="26">
        <v>1.0</v>
      </c>
      <c r="C214" s="28">
        <f>IFERROR(VLOOKUP(A214,'Market List'!$B:$F,5,FALSE),0)</f>
        <v>16</v>
      </c>
      <c r="D214" s="28">
        <f t="shared" si="18"/>
        <v>16</v>
      </c>
      <c r="E214" s="32" t="s">
        <v>646</v>
      </c>
    </row>
    <row r="215" ht="14.25" customHeight="1">
      <c r="A215" s="36" t="s">
        <v>433</v>
      </c>
      <c r="B215" s="37">
        <v>3.0</v>
      </c>
      <c r="C215" s="38">
        <f>IFERROR(VLOOKUP(A215,'Market List'!$B:$F,5,FALSE),0)</f>
        <v>155.5</v>
      </c>
      <c r="D215" s="38">
        <f t="shared" si="18"/>
        <v>466.5</v>
      </c>
      <c r="E215" s="41" t="s">
        <v>647</v>
      </c>
    </row>
    <row r="216" ht="14.25" customHeight="1">
      <c r="A216" s="156" t="s">
        <v>515</v>
      </c>
      <c r="B216" s="154"/>
      <c r="C216" s="154"/>
      <c r="D216" s="181">
        <f>SUM(D209:D215)</f>
        <v>132917.4135</v>
      </c>
      <c r="E216" s="155" t="s">
        <v>518</v>
      </c>
    </row>
    <row r="217" ht="14.25" customHeight="1"/>
    <row r="218" ht="14.25" customHeight="1">
      <c r="A218" s="147" t="s">
        <v>53</v>
      </c>
      <c r="B218" s="151">
        <f>IFERROR(D227/D218,0)</f>
        <v>362.7209213</v>
      </c>
      <c r="C218" s="152" t="s">
        <v>478</v>
      </c>
      <c r="D218" s="154">
        <f>SUM(B220:B226)</f>
        <v>144</v>
      </c>
      <c r="E218" s="155" t="s">
        <v>582</v>
      </c>
    </row>
    <row r="219" ht="14.25" customHeight="1">
      <c r="A219" s="156" t="s">
        <v>420</v>
      </c>
      <c r="B219" s="154" t="s">
        <v>482</v>
      </c>
      <c r="C219" s="154" t="s">
        <v>483</v>
      </c>
      <c r="D219" s="154" t="s">
        <v>484</v>
      </c>
      <c r="E219" s="155" t="s">
        <v>17</v>
      </c>
    </row>
    <row r="220" ht="14.25" customHeight="1">
      <c r="A220" s="14" t="s">
        <v>452</v>
      </c>
      <c r="B220" s="15">
        <v>9.0</v>
      </c>
      <c r="C220" s="17">
        <f>IFERROR(VLOOKUP(A220,'Market List'!$B:$F,5,FALSE),0)</f>
        <v>2741.666667</v>
      </c>
      <c r="D220" s="17">
        <f t="shared" ref="D220:D226" si="19">IFERROR(B220*C220,0)</f>
        <v>24675</v>
      </c>
      <c r="E220" s="24" t="s">
        <v>648</v>
      </c>
    </row>
    <row r="221" ht="14.25" customHeight="1">
      <c r="A221" s="25" t="s">
        <v>454</v>
      </c>
      <c r="B221" s="26">
        <v>70.0</v>
      </c>
      <c r="C221" s="28">
        <f>IFERROR(VLOOKUP(A221,'Market List'!$B:$F,5,FALSE),0)</f>
        <v>75</v>
      </c>
      <c r="D221" s="28">
        <f t="shared" si="19"/>
        <v>5250</v>
      </c>
      <c r="E221" s="32" t="s">
        <v>649</v>
      </c>
    </row>
    <row r="222" ht="14.25" customHeight="1">
      <c r="A222" s="25" t="s">
        <v>455</v>
      </c>
      <c r="B222" s="26">
        <v>10.0</v>
      </c>
      <c r="C222" s="28">
        <f>IFERROR(VLOOKUP(A222,'Market List'!$B:$F,5,FALSE),0)</f>
        <v>51.019</v>
      </c>
      <c r="D222" s="28">
        <f t="shared" si="19"/>
        <v>510.19</v>
      </c>
      <c r="E222" s="32" t="s">
        <v>650</v>
      </c>
    </row>
    <row r="223" ht="14.25" customHeight="1">
      <c r="A223" s="25" t="s">
        <v>50</v>
      </c>
      <c r="B223" s="26">
        <v>40.0</v>
      </c>
      <c r="C223" s="28">
        <f>IFERROR(VLOOKUP(A223,'Market List'!$B:$F,5,FALSE),0)</f>
        <v>478.3989</v>
      </c>
      <c r="D223" s="28">
        <f t="shared" si="19"/>
        <v>19135.956</v>
      </c>
      <c r="E223" s="32" t="s">
        <v>651</v>
      </c>
    </row>
    <row r="224" ht="14.25" customHeight="1">
      <c r="A224" s="25" t="s">
        <v>433</v>
      </c>
      <c r="B224" s="26">
        <v>8.0</v>
      </c>
      <c r="C224" s="28">
        <f>IFERROR(VLOOKUP(A224,'Market List'!$B:$F,5,FALSE),0)</f>
        <v>155.5</v>
      </c>
      <c r="D224" s="28">
        <f t="shared" si="19"/>
        <v>1244</v>
      </c>
      <c r="E224" s="32"/>
    </row>
    <row r="225" ht="14.25" customHeight="1">
      <c r="A225" s="25" t="s">
        <v>456</v>
      </c>
      <c r="B225" s="26">
        <v>4.0</v>
      </c>
      <c r="C225" s="28">
        <f>IFERROR(VLOOKUP(A225,'Market List'!$B:$F,5,FALSE),0)</f>
        <v>340.6666667</v>
      </c>
      <c r="D225" s="28">
        <f t="shared" si="19"/>
        <v>1362.666667</v>
      </c>
      <c r="E225" s="32"/>
    </row>
    <row r="226" ht="14.25" customHeight="1">
      <c r="A226" s="36" t="s">
        <v>436</v>
      </c>
      <c r="B226" s="37">
        <v>3.0</v>
      </c>
      <c r="C226" s="38">
        <f>IFERROR(VLOOKUP(A226,'Market List'!$B:$F,5,FALSE),0)</f>
        <v>18</v>
      </c>
      <c r="D226" s="38">
        <f t="shared" si="19"/>
        <v>54</v>
      </c>
      <c r="E226" s="41"/>
    </row>
    <row r="227" ht="14.25" customHeight="1">
      <c r="A227" s="156" t="s">
        <v>515</v>
      </c>
      <c r="B227" s="154"/>
      <c r="C227" s="154"/>
      <c r="D227" s="181">
        <f>SUM(D220:D226)</f>
        <v>52231.81267</v>
      </c>
      <c r="E227" s="155" t="s">
        <v>518</v>
      </c>
    </row>
    <row r="228" ht="14.25" customHeight="1"/>
    <row r="229" ht="14.25" customHeight="1">
      <c r="A229" s="147" t="s">
        <v>29</v>
      </c>
      <c r="B229" s="151">
        <f>IFERROR(D237/D229,0)</f>
        <v>168.975</v>
      </c>
      <c r="C229" s="152" t="s">
        <v>478</v>
      </c>
      <c r="D229" s="154">
        <v>20.0</v>
      </c>
      <c r="E229" s="155" t="s">
        <v>23</v>
      </c>
    </row>
    <row r="230" ht="14.25" customHeight="1">
      <c r="A230" s="156" t="s">
        <v>420</v>
      </c>
      <c r="B230" s="154" t="s">
        <v>482</v>
      </c>
      <c r="C230" s="154" t="s">
        <v>483</v>
      </c>
      <c r="D230" s="154" t="s">
        <v>484</v>
      </c>
      <c r="E230" s="155" t="s">
        <v>17</v>
      </c>
    </row>
    <row r="231" ht="14.25" customHeight="1">
      <c r="A231" s="14" t="s">
        <v>511</v>
      </c>
      <c r="B231" s="15">
        <v>90.0</v>
      </c>
      <c r="C231" s="17">
        <f>IFERROR(VLOOKUP(A231,'Market List'!$B:$F,5,FALSE),0)</f>
        <v>21.94444444</v>
      </c>
      <c r="D231" s="17">
        <f t="shared" ref="D231:D236" si="20">IFERROR(B231*C231,0)</f>
        <v>1975</v>
      </c>
      <c r="E231" s="24" t="s">
        <v>652</v>
      </c>
    </row>
    <row r="232" ht="14.25" customHeight="1">
      <c r="A232" s="25" t="s">
        <v>512</v>
      </c>
      <c r="B232" s="26">
        <v>36.0</v>
      </c>
      <c r="C232" s="28">
        <f>IFERROR(VLOOKUP(A232,'Market List'!$B:$F,5,FALSE),0)</f>
        <v>14.5</v>
      </c>
      <c r="D232" s="28">
        <f t="shared" si="20"/>
        <v>522</v>
      </c>
      <c r="E232" s="32"/>
    </row>
    <row r="233" ht="14.25" customHeight="1">
      <c r="A233" s="25" t="s">
        <v>430</v>
      </c>
      <c r="B233" s="26">
        <v>270.0</v>
      </c>
      <c r="C233" s="28">
        <f>IFERROR(VLOOKUP(A233,'Market List'!$B:$F,5,FALSE),0)</f>
        <v>3.15</v>
      </c>
      <c r="D233" s="28">
        <f t="shared" si="20"/>
        <v>850.5</v>
      </c>
      <c r="E233" s="32"/>
    </row>
    <row r="234" ht="14.25" customHeight="1">
      <c r="A234" s="25" t="s">
        <v>425</v>
      </c>
      <c r="B234" s="26">
        <v>2.0</v>
      </c>
      <c r="C234" s="28">
        <f>IFERROR(VLOOKUP(A234,'Market List'!$B:$F,5,FALSE),0)</f>
        <v>16</v>
      </c>
      <c r="D234" s="28">
        <f t="shared" si="20"/>
        <v>32</v>
      </c>
      <c r="E234" s="32"/>
    </row>
    <row r="235" ht="14.25" customHeight="1">
      <c r="A235" s="25"/>
      <c r="B235" s="26"/>
      <c r="C235" s="28"/>
      <c r="D235" s="28">
        <f t="shared" si="20"/>
        <v>0</v>
      </c>
      <c r="E235" s="32"/>
    </row>
    <row r="236" ht="14.25" customHeight="1">
      <c r="A236" s="36"/>
      <c r="B236" s="37"/>
      <c r="C236" s="38"/>
      <c r="D236" s="38">
        <f t="shared" si="20"/>
        <v>0</v>
      </c>
      <c r="E236" s="41"/>
    </row>
    <row r="237" ht="14.25" customHeight="1">
      <c r="A237" s="156" t="s">
        <v>515</v>
      </c>
      <c r="B237" s="154"/>
      <c r="C237" s="154"/>
      <c r="D237" s="181">
        <f>SUM(D231:D236)</f>
        <v>3379.5</v>
      </c>
      <c r="E237" s="155" t="s">
        <v>518</v>
      </c>
    </row>
    <row r="238" ht="14.25" customHeight="1"/>
    <row r="239" ht="14.25" customHeight="1">
      <c r="A239" s="147" t="s">
        <v>606</v>
      </c>
      <c r="B239" s="151">
        <f>IFERROR(D248/D239,0)</f>
        <v>69.4806067</v>
      </c>
      <c r="C239" s="152" t="s">
        <v>478</v>
      </c>
      <c r="D239" s="154">
        <f>SUM(B241:B247)*90%</f>
        <v>254.7</v>
      </c>
      <c r="E239" s="155" t="s">
        <v>24</v>
      </c>
    </row>
    <row r="240" ht="14.25" customHeight="1">
      <c r="A240" s="156" t="s">
        <v>420</v>
      </c>
      <c r="B240" s="154" t="s">
        <v>482</v>
      </c>
      <c r="C240" s="154" t="s">
        <v>483</v>
      </c>
      <c r="D240" s="154" t="s">
        <v>484</v>
      </c>
      <c r="E240" s="155" t="s">
        <v>17</v>
      </c>
    </row>
    <row r="241" ht="14.25" customHeight="1">
      <c r="A241" s="14" t="s">
        <v>466</v>
      </c>
      <c r="B241" s="15">
        <v>200.0</v>
      </c>
      <c r="C241" s="17">
        <f>IFERROR(VLOOKUP(A241,'Market List'!$B:$F,5,FALSE),0)</f>
        <v>38.42105263</v>
      </c>
      <c r="D241" s="17">
        <f t="shared" ref="D241:D247" si="21">IFERROR(B241*C241,0)</f>
        <v>7684.210526</v>
      </c>
      <c r="E241" s="24"/>
    </row>
    <row r="242" ht="14.25" customHeight="1">
      <c r="A242" s="25" t="s">
        <v>542</v>
      </c>
      <c r="B242" s="26">
        <v>2.0</v>
      </c>
      <c r="C242" s="28">
        <f>IFERROR(VLOOKUP(A242,'Market List'!$B:$F,5,FALSE),0)</f>
        <v>130</v>
      </c>
      <c r="D242" s="28">
        <f t="shared" si="21"/>
        <v>260</v>
      </c>
      <c r="E242" s="32"/>
    </row>
    <row r="243" ht="14.25" customHeight="1">
      <c r="A243" s="25" t="s">
        <v>543</v>
      </c>
      <c r="B243" s="26">
        <v>40.0</v>
      </c>
      <c r="C243" s="28">
        <f>IFERROR(VLOOKUP(A243,'Market List'!$B:$F,5,FALSE),0)</f>
        <v>18</v>
      </c>
      <c r="D243" s="28">
        <f t="shared" si="21"/>
        <v>720</v>
      </c>
      <c r="E243" s="32"/>
    </row>
    <row r="244" ht="14.25" customHeight="1">
      <c r="A244" s="25" t="s">
        <v>548</v>
      </c>
      <c r="B244" s="26">
        <v>15.0</v>
      </c>
      <c r="C244" s="28">
        <f>IFERROR(VLOOKUP(A244,'Market List'!$B:$F,5,FALSE),0)</f>
        <v>22.5</v>
      </c>
      <c r="D244" s="28">
        <f t="shared" si="21"/>
        <v>337.5</v>
      </c>
      <c r="E244" s="32"/>
    </row>
    <row r="245" ht="14.25" customHeight="1">
      <c r="A245" s="25" t="s">
        <v>549</v>
      </c>
      <c r="B245" s="26">
        <v>5.0</v>
      </c>
      <c r="C245" s="28">
        <f>IFERROR(VLOOKUP(A245,'Market List'!$B:$F,5,FALSE),0)</f>
        <v>999</v>
      </c>
      <c r="D245" s="28">
        <f t="shared" si="21"/>
        <v>4995</v>
      </c>
      <c r="E245" s="32"/>
    </row>
    <row r="246" ht="14.25" customHeight="1">
      <c r="A246" s="25" t="s">
        <v>550</v>
      </c>
      <c r="B246" s="26">
        <v>20.0</v>
      </c>
      <c r="C246" s="28">
        <f>IFERROR(VLOOKUP(A246,'Market List'!$B:$F,5,FALSE),0)</f>
        <v>140</v>
      </c>
      <c r="D246" s="28">
        <f t="shared" si="21"/>
        <v>2800</v>
      </c>
      <c r="E246" s="32"/>
    </row>
    <row r="247" ht="14.25" customHeight="1">
      <c r="A247" s="36" t="s">
        <v>551</v>
      </c>
      <c r="B247" s="37">
        <v>1.0</v>
      </c>
      <c r="C247" s="38">
        <f>IFERROR(VLOOKUP(A247,'Market List'!$B:$F,5,FALSE),0)</f>
        <v>900</v>
      </c>
      <c r="D247" s="38">
        <f t="shared" si="21"/>
        <v>900</v>
      </c>
      <c r="E247" s="41"/>
    </row>
    <row r="248" ht="14.25" customHeight="1">
      <c r="A248" s="156" t="s">
        <v>515</v>
      </c>
      <c r="B248" s="154"/>
      <c r="C248" s="154"/>
      <c r="D248" s="181">
        <f>SUM(D241:D247)</f>
        <v>17696.71053</v>
      </c>
      <c r="E248" s="155" t="s">
        <v>653</v>
      </c>
    </row>
    <row r="249" ht="14.25" customHeight="1"/>
    <row r="250" ht="14.25" customHeight="1">
      <c r="A250" s="147" t="s">
        <v>207</v>
      </c>
      <c r="B250" s="151">
        <f>IFERROR(D258/D250,0)</f>
        <v>72.49030335</v>
      </c>
      <c r="C250" s="152" t="s">
        <v>478</v>
      </c>
      <c r="D250" s="154">
        <f>SUM(B252:B257)</f>
        <v>200</v>
      </c>
      <c r="E250" s="155" t="s">
        <v>24</v>
      </c>
    </row>
    <row r="251" ht="14.25" customHeight="1">
      <c r="A251" s="156" t="s">
        <v>420</v>
      </c>
      <c r="B251" s="154" t="s">
        <v>482</v>
      </c>
      <c r="C251" s="154" t="s">
        <v>483</v>
      </c>
      <c r="D251" s="154" t="s">
        <v>484</v>
      </c>
      <c r="E251" s="155" t="s">
        <v>17</v>
      </c>
    </row>
    <row r="252" ht="14.25" customHeight="1">
      <c r="A252" s="14" t="s">
        <v>606</v>
      </c>
      <c r="B252" s="15">
        <v>100.0</v>
      </c>
      <c r="C252" s="17">
        <f>'WIP FOOD'!$B$239</f>
        <v>69.4806067</v>
      </c>
      <c r="D252" s="17">
        <f t="shared" ref="D252:D257" si="22">IFERROR(B252*C252,0)</f>
        <v>6948.06067</v>
      </c>
      <c r="E252" s="24"/>
    </row>
    <row r="253" ht="14.25" customHeight="1">
      <c r="A253" s="25" t="s">
        <v>541</v>
      </c>
      <c r="B253" s="26">
        <v>100.0</v>
      </c>
      <c r="C253" s="28">
        <f>IFERROR(VLOOKUP(A253,'Market List'!$B:$F,5,FALSE),0)</f>
        <v>75.5</v>
      </c>
      <c r="D253" s="28">
        <f t="shared" si="22"/>
        <v>7550</v>
      </c>
      <c r="E253" s="32"/>
    </row>
    <row r="254" ht="14.25" customHeight="1">
      <c r="A254" s="25"/>
      <c r="B254" s="26"/>
      <c r="C254" s="28"/>
      <c r="D254" s="28">
        <f t="shared" si="22"/>
        <v>0</v>
      </c>
      <c r="E254" s="32"/>
    </row>
    <row r="255" ht="14.25" customHeight="1">
      <c r="A255" s="25"/>
      <c r="B255" s="26"/>
      <c r="C255" s="28"/>
      <c r="D255" s="28">
        <f t="shared" si="22"/>
        <v>0</v>
      </c>
      <c r="E255" s="32"/>
    </row>
    <row r="256" ht="14.25" customHeight="1">
      <c r="A256" s="25"/>
      <c r="B256" s="26"/>
      <c r="C256" s="28"/>
      <c r="D256" s="28">
        <f t="shared" si="22"/>
        <v>0</v>
      </c>
      <c r="E256" s="32"/>
    </row>
    <row r="257" ht="14.25" customHeight="1">
      <c r="A257" s="36"/>
      <c r="B257" s="37"/>
      <c r="C257" s="38"/>
      <c r="D257" s="38">
        <f t="shared" si="22"/>
        <v>0</v>
      </c>
      <c r="E257" s="41"/>
    </row>
    <row r="258" ht="14.25" customHeight="1">
      <c r="A258" s="156" t="s">
        <v>515</v>
      </c>
      <c r="B258" s="154"/>
      <c r="C258" s="154"/>
      <c r="D258" s="181">
        <f>SUM(D252:D257)</f>
        <v>14498.06067</v>
      </c>
      <c r="E258" s="155" t="s">
        <v>654</v>
      </c>
    </row>
    <row r="259" ht="14.25" customHeight="1"/>
    <row r="260" ht="14.25" customHeight="1">
      <c r="A260" s="147" t="s">
        <v>241</v>
      </c>
      <c r="B260" s="151">
        <f>IFERROR(D268/D260,0)</f>
        <v>111.3971155</v>
      </c>
      <c r="C260" s="152" t="s">
        <v>478</v>
      </c>
      <c r="D260" s="154">
        <f>SUM(B262:B267)*90%</f>
        <v>279.9</v>
      </c>
      <c r="E260" s="155" t="s">
        <v>24</v>
      </c>
    </row>
    <row r="261" ht="14.25" customHeight="1">
      <c r="A261" s="156" t="s">
        <v>420</v>
      </c>
      <c r="B261" s="154" t="s">
        <v>482</v>
      </c>
      <c r="C261" s="154" t="s">
        <v>483</v>
      </c>
      <c r="D261" s="154" t="s">
        <v>484</v>
      </c>
      <c r="E261" s="155" t="s">
        <v>17</v>
      </c>
    </row>
    <row r="262" ht="14.25" customHeight="1">
      <c r="A262" s="14" t="s">
        <v>466</v>
      </c>
      <c r="B262" s="15">
        <v>126.0</v>
      </c>
      <c r="C262" s="17">
        <f>IFERROR(VLOOKUP(A262,'Market List'!$B:$F,5,FALSE),0)</f>
        <v>38.42105263</v>
      </c>
      <c r="D262" s="17">
        <f t="shared" ref="D262:D267" si="23">IFERROR(B262*C262,0)</f>
        <v>4841.052632</v>
      </c>
      <c r="E262" s="24"/>
    </row>
    <row r="263" ht="14.25" customHeight="1">
      <c r="A263" s="25" t="s">
        <v>543</v>
      </c>
      <c r="B263" s="26">
        <v>90.0</v>
      </c>
      <c r="C263" s="28">
        <f>IFERROR(VLOOKUP(A263,'Market List'!$B:$F,5,FALSE),0)</f>
        <v>18</v>
      </c>
      <c r="D263" s="28">
        <f t="shared" si="23"/>
        <v>1620</v>
      </c>
      <c r="E263" s="32"/>
    </row>
    <row r="264" ht="14.25" customHeight="1">
      <c r="A264" s="25" t="s">
        <v>549</v>
      </c>
      <c r="B264" s="26">
        <v>19.0</v>
      </c>
      <c r="C264" s="28">
        <f>IFERROR(VLOOKUP(A264,'Market List'!$B:$F,5,FALSE),0)</f>
        <v>999</v>
      </c>
      <c r="D264" s="28">
        <f t="shared" si="23"/>
        <v>18981</v>
      </c>
      <c r="E264" s="32"/>
    </row>
    <row r="265" ht="14.25" customHeight="1">
      <c r="A265" s="25" t="s">
        <v>547</v>
      </c>
      <c r="B265" s="26">
        <v>76.0</v>
      </c>
      <c r="C265" s="28">
        <f>IFERROR(VLOOKUP(A265,'Market List'!$B:$F,5,FALSE),0)</f>
        <v>75.5</v>
      </c>
      <c r="D265" s="28">
        <f t="shared" si="23"/>
        <v>5738</v>
      </c>
      <c r="E265" s="32"/>
    </row>
    <row r="266" ht="14.25" customHeight="1">
      <c r="A266" s="25"/>
      <c r="B266" s="26"/>
      <c r="C266" s="28"/>
      <c r="D266" s="28">
        <f t="shared" si="23"/>
        <v>0</v>
      </c>
      <c r="E266" s="32"/>
    </row>
    <row r="267" ht="14.25" customHeight="1">
      <c r="A267" s="36"/>
      <c r="B267" s="37"/>
      <c r="C267" s="38"/>
      <c r="D267" s="38">
        <f t="shared" si="23"/>
        <v>0</v>
      </c>
      <c r="E267" s="41"/>
    </row>
    <row r="268" ht="14.25" customHeight="1">
      <c r="A268" s="156" t="s">
        <v>515</v>
      </c>
      <c r="B268" s="154"/>
      <c r="C268" s="154"/>
      <c r="D268" s="181">
        <f>SUM(D262:D267)</f>
        <v>31180.05263</v>
      </c>
      <c r="E268" s="155" t="s">
        <v>655</v>
      </c>
    </row>
    <row r="269" ht="14.25" customHeight="1"/>
    <row r="270" ht="14.25" customHeight="1">
      <c r="A270" s="147" t="s">
        <v>607</v>
      </c>
      <c r="B270" s="151">
        <f>IFERROR(D286/D270,0)</f>
        <v>80.93852793</v>
      </c>
      <c r="C270" s="152" t="s">
        <v>478</v>
      </c>
      <c r="D270" s="154">
        <f>SUM(B272:B285)</f>
        <v>1263</v>
      </c>
      <c r="E270" s="155" t="s">
        <v>582</v>
      </c>
    </row>
    <row r="271" ht="14.25" customHeight="1">
      <c r="A271" s="156" t="s">
        <v>420</v>
      </c>
      <c r="B271" s="154" t="s">
        <v>482</v>
      </c>
      <c r="C271" s="154" t="s">
        <v>483</v>
      </c>
      <c r="D271" s="154" t="s">
        <v>484</v>
      </c>
      <c r="E271" s="155" t="s">
        <v>17</v>
      </c>
    </row>
    <row r="272" ht="14.25" customHeight="1">
      <c r="A272" s="14" t="s">
        <v>434</v>
      </c>
      <c r="B272" s="15">
        <v>500.0</v>
      </c>
      <c r="C272" s="17">
        <f>IFERROR(VLOOKUP(A272,'Market List'!$B:$F,5,FALSE),0)</f>
        <v>138.7777778</v>
      </c>
      <c r="D272" s="17">
        <f t="shared" ref="D272:D285" si="24">IFERROR(B272*C272,0)</f>
        <v>69388.88889</v>
      </c>
      <c r="E272" s="24" t="s">
        <v>656</v>
      </c>
    </row>
    <row r="273" ht="14.25" customHeight="1">
      <c r="A273" s="25" t="s">
        <v>103</v>
      </c>
      <c r="B273" s="26">
        <v>300.0</v>
      </c>
      <c r="C273" s="28">
        <f>IFERROR(VLOOKUP(A273,'Market List'!$B:$F,5,FALSE),0)</f>
        <v>35</v>
      </c>
      <c r="D273" s="28">
        <f t="shared" si="24"/>
        <v>10500</v>
      </c>
      <c r="E273" s="32" t="s">
        <v>657</v>
      </c>
    </row>
    <row r="274" ht="14.25" customHeight="1">
      <c r="A274" s="25" t="s">
        <v>435</v>
      </c>
      <c r="B274" s="26">
        <v>50.0</v>
      </c>
      <c r="C274" s="28">
        <f>IFERROR(VLOOKUP(A274,'Market List'!$B:$F,5,FALSE),0)</f>
        <v>33</v>
      </c>
      <c r="D274" s="28">
        <f t="shared" si="24"/>
        <v>1650</v>
      </c>
      <c r="E274" s="32" t="s">
        <v>658</v>
      </c>
    </row>
    <row r="275" ht="14.25" customHeight="1">
      <c r="A275" s="25" t="s">
        <v>436</v>
      </c>
      <c r="B275" s="26">
        <v>250.0</v>
      </c>
      <c r="C275" s="28">
        <f>IFERROR(VLOOKUP(A275,'Market List'!$B:$F,5,FALSE),0)</f>
        <v>18</v>
      </c>
      <c r="D275" s="28">
        <f t="shared" si="24"/>
        <v>4500</v>
      </c>
      <c r="E275" s="32"/>
    </row>
    <row r="276" ht="14.25" customHeight="1">
      <c r="A276" s="25" t="s">
        <v>425</v>
      </c>
      <c r="B276" s="26">
        <v>10.0</v>
      </c>
      <c r="C276" s="28">
        <f>IFERROR(VLOOKUP(A276,'Market List'!$B:$F,5,FALSE),0)</f>
        <v>16</v>
      </c>
      <c r="D276" s="28">
        <f t="shared" si="24"/>
        <v>160</v>
      </c>
      <c r="E276" s="32"/>
    </row>
    <row r="277" ht="14.25" customHeight="1">
      <c r="A277" s="25" t="s">
        <v>437</v>
      </c>
      <c r="B277" s="26">
        <v>10.0</v>
      </c>
      <c r="C277" s="28">
        <f>IFERROR(VLOOKUP(A277,'Market List'!$B:$F,5,FALSE),0)</f>
        <v>45</v>
      </c>
      <c r="D277" s="28">
        <f t="shared" si="24"/>
        <v>450</v>
      </c>
      <c r="E277" s="32" t="s">
        <v>659</v>
      </c>
    </row>
    <row r="278" ht="14.25" customHeight="1">
      <c r="A278" s="25" t="s">
        <v>438</v>
      </c>
      <c r="B278" s="26">
        <v>10.0</v>
      </c>
      <c r="C278" s="28">
        <f>IFERROR(VLOOKUP(A278,'Market List'!$B:$F,5,FALSE),0)</f>
        <v>140</v>
      </c>
      <c r="D278" s="28">
        <f t="shared" si="24"/>
        <v>1400</v>
      </c>
      <c r="E278" s="32"/>
    </row>
    <row r="279" ht="14.25" customHeight="1">
      <c r="A279" s="25" t="s">
        <v>439</v>
      </c>
      <c r="B279" s="26">
        <v>30.0</v>
      </c>
      <c r="C279" s="28">
        <f>IFERROR(VLOOKUP(A279,'Market List'!$B:$F,5,FALSE),0)</f>
        <v>351.6666667</v>
      </c>
      <c r="D279" s="28">
        <f t="shared" si="24"/>
        <v>10550</v>
      </c>
      <c r="E279" s="32"/>
    </row>
    <row r="280" ht="14.25" customHeight="1">
      <c r="A280" s="25" t="s">
        <v>440</v>
      </c>
      <c r="B280" s="26">
        <v>5.0</v>
      </c>
      <c r="C280" s="28">
        <f>IFERROR(VLOOKUP(A280,'Market List'!$B:$F,5,FALSE),0)</f>
        <v>37</v>
      </c>
      <c r="D280" s="28">
        <f t="shared" si="24"/>
        <v>185</v>
      </c>
      <c r="E280" s="32"/>
    </row>
    <row r="281" ht="14.25" customHeight="1">
      <c r="A281" s="25" t="s">
        <v>398</v>
      </c>
      <c r="B281" s="26">
        <v>5.0</v>
      </c>
      <c r="C281" s="28">
        <f>IFERROR(VLOOKUP(A281,'Market List'!$B:$F,5,FALSE),0)</f>
        <v>43.18181818</v>
      </c>
      <c r="D281" s="28">
        <f t="shared" si="24"/>
        <v>215.9090909</v>
      </c>
      <c r="E281" s="32"/>
    </row>
    <row r="282" ht="14.25" customHeight="1">
      <c r="A282" s="25" t="s">
        <v>427</v>
      </c>
      <c r="B282" s="26">
        <v>8.0</v>
      </c>
      <c r="C282" s="28">
        <f>IFERROR(VLOOKUP(A282,'Market List'!$B:$F,5,FALSE),0)</f>
        <v>48.83333333</v>
      </c>
      <c r="D282" s="28">
        <f t="shared" si="24"/>
        <v>390.6666667</v>
      </c>
      <c r="E282" s="32"/>
    </row>
    <row r="283" ht="14.25" customHeight="1">
      <c r="A283" s="25" t="s">
        <v>429</v>
      </c>
      <c r="B283" s="26">
        <v>5.0</v>
      </c>
      <c r="C283" s="28">
        <f>IFERROR(VLOOKUP(A283,'Market List'!$B:$F,5,FALSE),0)</f>
        <v>62.90322581</v>
      </c>
      <c r="D283" s="28">
        <f t="shared" si="24"/>
        <v>314.516129</v>
      </c>
      <c r="E283" s="32"/>
    </row>
    <row r="284" ht="14.25" customHeight="1">
      <c r="A284" s="25" t="s">
        <v>441</v>
      </c>
      <c r="B284" s="26">
        <v>20.0</v>
      </c>
      <c r="C284" s="28">
        <f>IFERROR(VLOOKUP(A284,'Market List'!$B:$F,5,FALSE),0)</f>
        <v>51.019</v>
      </c>
      <c r="D284" s="28">
        <f t="shared" si="24"/>
        <v>1020.38</v>
      </c>
      <c r="E284" s="32"/>
    </row>
    <row r="285" ht="14.25" customHeight="1">
      <c r="A285" s="36" t="s">
        <v>442</v>
      </c>
      <c r="B285" s="37">
        <v>60.0</v>
      </c>
      <c r="C285" s="38">
        <f>IFERROR(VLOOKUP(A285,'Market List'!$B:$F,5,FALSE),0)</f>
        <v>25</v>
      </c>
      <c r="D285" s="38">
        <f t="shared" si="24"/>
        <v>1500</v>
      </c>
      <c r="E285" s="41" t="s">
        <v>660</v>
      </c>
    </row>
    <row r="286" ht="14.25" customHeight="1">
      <c r="A286" s="156" t="s">
        <v>515</v>
      </c>
      <c r="B286" s="154"/>
      <c r="C286" s="154"/>
      <c r="D286" s="181">
        <f>SUM(D272:D285)</f>
        <v>102225.3608</v>
      </c>
      <c r="E286" s="155" t="s">
        <v>518</v>
      </c>
    </row>
    <row r="287" ht="14.25" customHeight="1"/>
    <row r="288" ht="14.25" customHeight="1">
      <c r="A288" s="147" t="s">
        <v>228</v>
      </c>
      <c r="B288" s="151">
        <f>IFERROR(D296/D288,0)</f>
        <v>29.98463198</v>
      </c>
      <c r="C288" s="152" t="s">
        <v>478</v>
      </c>
      <c r="D288" s="154">
        <f>SUM(B290:B295)</f>
        <v>40</v>
      </c>
      <c r="E288" s="155" t="s">
        <v>582</v>
      </c>
    </row>
    <row r="289" ht="14.25" customHeight="1">
      <c r="A289" s="156" t="s">
        <v>420</v>
      </c>
      <c r="B289" s="154" t="s">
        <v>482</v>
      </c>
      <c r="C289" s="154" t="s">
        <v>483</v>
      </c>
      <c r="D289" s="154" t="s">
        <v>484</v>
      </c>
      <c r="E289" s="155" t="s">
        <v>17</v>
      </c>
    </row>
    <row r="290" ht="14.25" customHeight="1">
      <c r="A290" s="14" t="s">
        <v>92</v>
      </c>
      <c r="B290" s="15">
        <v>30.0</v>
      </c>
      <c r="C290" s="17">
        <f>IFERROR(VLOOKUP(A290,'Market List'!$B:$F,5,FALSE),0)</f>
        <v>13</v>
      </c>
      <c r="D290" s="17">
        <f t="shared" ref="D290:D295" si="25">IFERROR(B290*C290,0)</f>
        <v>390</v>
      </c>
      <c r="E290" s="24" t="s">
        <v>661</v>
      </c>
    </row>
    <row r="291" ht="14.25" customHeight="1">
      <c r="A291" s="25" t="s">
        <v>607</v>
      </c>
      <c r="B291" s="26">
        <v>10.0</v>
      </c>
      <c r="C291" s="28">
        <f>'WIP FOOD'!$B$270</f>
        <v>80.93852793</v>
      </c>
      <c r="D291" s="28">
        <f t="shared" si="25"/>
        <v>809.3852793</v>
      </c>
      <c r="E291" s="32" t="s">
        <v>662</v>
      </c>
    </row>
    <row r="292" ht="14.25" customHeight="1">
      <c r="A292" s="25"/>
      <c r="B292" s="26"/>
      <c r="C292" s="28"/>
      <c r="D292" s="28">
        <f t="shared" si="25"/>
        <v>0</v>
      </c>
      <c r="E292" s="32"/>
    </row>
    <row r="293" ht="14.25" customHeight="1">
      <c r="A293" s="25"/>
      <c r="B293" s="26"/>
      <c r="C293" s="28"/>
      <c r="D293" s="28">
        <f t="shared" si="25"/>
        <v>0</v>
      </c>
      <c r="E293" s="32"/>
    </row>
    <row r="294" ht="14.25" customHeight="1">
      <c r="A294" s="25"/>
      <c r="B294" s="26"/>
      <c r="C294" s="28"/>
      <c r="D294" s="28">
        <f t="shared" si="25"/>
        <v>0</v>
      </c>
      <c r="E294" s="32"/>
    </row>
    <row r="295" ht="14.25" customHeight="1">
      <c r="A295" s="36"/>
      <c r="B295" s="37"/>
      <c r="C295" s="38"/>
      <c r="D295" s="38">
        <f t="shared" si="25"/>
        <v>0</v>
      </c>
      <c r="E295" s="41"/>
    </row>
    <row r="296" ht="14.25" customHeight="1">
      <c r="A296" s="156" t="s">
        <v>515</v>
      </c>
      <c r="B296" s="154"/>
      <c r="C296" s="154"/>
      <c r="D296" s="181">
        <f>SUM(D290:D295)</f>
        <v>1199.385279</v>
      </c>
      <c r="E296" s="155" t="s">
        <v>518</v>
      </c>
    </row>
    <row r="297" ht="14.25" customHeight="1"/>
    <row r="298" ht="14.25" customHeight="1">
      <c r="A298" s="147" t="s">
        <v>409</v>
      </c>
      <c r="B298" s="151">
        <f>IFERROR(D306/D298,0)</f>
        <v>86.80870561</v>
      </c>
      <c r="C298" s="152" t="s">
        <v>478</v>
      </c>
      <c r="D298" s="154">
        <f>SUM(B300:B305)</f>
        <v>1746</v>
      </c>
      <c r="E298" s="155" t="s">
        <v>582</v>
      </c>
    </row>
    <row r="299" ht="14.25" customHeight="1">
      <c r="A299" s="156" t="s">
        <v>420</v>
      </c>
      <c r="B299" s="154" t="s">
        <v>482</v>
      </c>
      <c r="C299" s="154" t="s">
        <v>483</v>
      </c>
      <c r="D299" s="154" t="s">
        <v>484</v>
      </c>
      <c r="E299" s="155" t="s">
        <v>17</v>
      </c>
    </row>
    <row r="300" ht="14.25" customHeight="1">
      <c r="A300" s="14" t="s">
        <v>430</v>
      </c>
      <c r="B300" s="15">
        <v>500.0</v>
      </c>
      <c r="C300" s="17">
        <f>IFERROR(VLOOKUP(A300,'Market List'!$B:$F,5,FALSE),0)</f>
        <v>3.15</v>
      </c>
      <c r="D300" s="17">
        <f t="shared" ref="D300:D305" si="26">IFERROR(B300*C300,0)</f>
        <v>1575</v>
      </c>
      <c r="E300" s="24" t="s">
        <v>663</v>
      </c>
    </row>
    <row r="301" ht="14.25" customHeight="1">
      <c r="A301" s="25" t="s">
        <v>443</v>
      </c>
      <c r="B301" s="26">
        <v>150.0</v>
      </c>
      <c r="C301" s="28">
        <f>IFERROR(VLOOKUP(A301,'Market List'!$B:$F,5,FALSE),0)</f>
        <v>75</v>
      </c>
      <c r="D301" s="28">
        <f t="shared" si="26"/>
        <v>11250</v>
      </c>
      <c r="E301" s="32" t="s">
        <v>664</v>
      </c>
    </row>
    <row r="302" ht="14.25" customHeight="1">
      <c r="A302" s="25" t="s">
        <v>433</v>
      </c>
      <c r="B302" s="26">
        <v>6.0</v>
      </c>
      <c r="C302" s="28">
        <f>IFERROR(VLOOKUP(A302,'Market List'!$B:$F,5,FALSE),0)</f>
        <v>155.5</v>
      </c>
      <c r="D302" s="28">
        <f t="shared" si="26"/>
        <v>933</v>
      </c>
      <c r="E302" s="32" t="s">
        <v>665</v>
      </c>
    </row>
    <row r="303" ht="14.25" customHeight="1">
      <c r="A303" s="25" t="s">
        <v>103</v>
      </c>
      <c r="B303" s="26">
        <v>70.0</v>
      </c>
      <c r="C303" s="28">
        <f>IFERROR(VLOOKUP(A303,'Market List'!$B:$F,5,FALSE),0)</f>
        <v>35</v>
      </c>
      <c r="D303" s="28">
        <f t="shared" si="26"/>
        <v>2450</v>
      </c>
      <c r="E303" s="32" t="s">
        <v>495</v>
      </c>
    </row>
    <row r="304" ht="14.25" customHeight="1">
      <c r="A304" s="25" t="s">
        <v>436</v>
      </c>
      <c r="B304" s="26">
        <v>20.0</v>
      </c>
      <c r="C304" s="28">
        <f>IFERROR(VLOOKUP(A304,'Market List'!$B:$F,5,FALSE),0)</f>
        <v>18</v>
      </c>
      <c r="D304" s="28">
        <f t="shared" si="26"/>
        <v>360</v>
      </c>
      <c r="E304" s="32"/>
    </row>
    <row r="305" ht="14.25" customHeight="1">
      <c r="A305" s="36" t="s">
        <v>105</v>
      </c>
      <c r="B305" s="37">
        <v>1000.0</v>
      </c>
      <c r="C305" s="38">
        <f>IFERROR(VLOOKUP(A305,'Market List'!$B:$F,5,FALSE),0)</f>
        <v>135</v>
      </c>
      <c r="D305" s="38">
        <f t="shared" si="26"/>
        <v>135000</v>
      </c>
      <c r="E305" s="41"/>
    </row>
    <row r="306" ht="14.25" customHeight="1">
      <c r="A306" s="156" t="s">
        <v>515</v>
      </c>
      <c r="B306" s="154"/>
      <c r="C306" s="154"/>
      <c r="D306" s="181">
        <f>SUM(D300:D305)</f>
        <v>151568</v>
      </c>
      <c r="E306" s="155" t="s">
        <v>518</v>
      </c>
    </row>
    <row r="307" ht="14.25" customHeight="1"/>
    <row r="308" ht="14.25" customHeight="1">
      <c r="A308" s="147" t="s">
        <v>609</v>
      </c>
      <c r="B308" s="151">
        <f>IFERROR(D316/D308,0)</f>
        <v>20.68320648</v>
      </c>
      <c r="C308" s="152" t="s">
        <v>478</v>
      </c>
      <c r="D308" s="154">
        <f>SUM(B310:B314)</f>
        <v>267</v>
      </c>
      <c r="E308" s="155" t="s">
        <v>582</v>
      </c>
    </row>
    <row r="309" ht="14.25" customHeight="1">
      <c r="A309" s="156" t="s">
        <v>420</v>
      </c>
      <c r="B309" s="154" t="s">
        <v>482</v>
      </c>
      <c r="C309" s="154" t="s">
        <v>483</v>
      </c>
      <c r="D309" s="154" t="s">
        <v>484</v>
      </c>
      <c r="E309" s="155" t="s">
        <v>17</v>
      </c>
    </row>
    <row r="310" ht="14.25" customHeight="1">
      <c r="A310" s="14" t="s">
        <v>514</v>
      </c>
      <c r="B310" s="15">
        <v>50.0</v>
      </c>
      <c r="C310" s="17">
        <f>IFERROR(VLOOKUP(A310,'Market List'!$B:$F,5,FALSE),0)</f>
        <v>75</v>
      </c>
      <c r="D310" s="17">
        <f t="shared" ref="D310:D315" si="27">IFERROR(B310*C310,0)</f>
        <v>3750</v>
      </c>
      <c r="E310" s="24" t="s">
        <v>666</v>
      </c>
    </row>
    <row r="311" ht="14.25" customHeight="1">
      <c r="A311" s="25" t="s">
        <v>430</v>
      </c>
      <c r="B311" s="26">
        <v>200.0</v>
      </c>
      <c r="C311" s="28">
        <f>IFERROR(VLOOKUP(A311,'Market List'!$B:$F,5,FALSE),0)</f>
        <v>3.15</v>
      </c>
      <c r="D311" s="28">
        <f t="shared" si="27"/>
        <v>630</v>
      </c>
      <c r="E311" s="32"/>
    </row>
    <row r="312" ht="14.25" customHeight="1">
      <c r="A312" s="25" t="s">
        <v>367</v>
      </c>
      <c r="B312" s="26">
        <v>2.0</v>
      </c>
      <c r="C312" s="28">
        <f>IFERROR(VLOOKUP(A312,'Market List'!$B:$F,5,FALSE),0)</f>
        <v>200</v>
      </c>
      <c r="D312" s="28">
        <f t="shared" si="27"/>
        <v>400</v>
      </c>
      <c r="E312" s="32"/>
    </row>
    <row r="313" ht="14.25" customHeight="1">
      <c r="A313" s="25" t="s">
        <v>469</v>
      </c>
      <c r="B313" s="26">
        <v>10.0</v>
      </c>
      <c r="C313" s="28">
        <f>IFERROR(VLOOKUP(A313,'Market List'!$B:$F,5,FALSE),0)</f>
        <v>42.79</v>
      </c>
      <c r="D313" s="28">
        <f t="shared" si="27"/>
        <v>427.9</v>
      </c>
      <c r="E313" s="32" t="s">
        <v>667</v>
      </c>
    </row>
    <row r="314" ht="14.25" customHeight="1">
      <c r="A314" s="25" t="s">
        <v>429</v>
      </c>
      <c r="B314" s="26">
        <v>5.0</v>
      </c>
      <c r="C314" s="28">
        <f>IFERROR(VLOOKUP(A314,'Market List'!$B:$F,5,FALSE),0)</f>
        <v>62.90322581</v>
      </c>
      <c r="D314" s="28">
        <f t="shared" si="27"/>
        <v>314.516129</v>
      </c>
      <c r="E314" s="32"/>
    </row>
    <row r="315" ht="14.25" customHeight="1">
      <c r="A315" s="36"/>
      <c r="B315" s="37"/>
      <c r="C315" s="38"/>
      <c r="D315" s="38">
        <f t="shared" si="27"/>
        <v>0</v>
      </c>
      <c r="E315" s="41"/>
    </row>
    <row r="316" ht="14.25" customHeight="1">
      <c r="A316" s="156" t="s">
        <v>515</v>
      </c>
      <c r="B316" s="154"/>
      <c r="C316" s="154"/>
      <c r="D316" s="181">
        <f>SUM(D310:D315)</f>
        <v>5522.416129</v>
      </c>
      <c r="E316" s="155" t="s">
        <v>518</v>
      </c>
    </row>
    <row r="317" ht="14.25" customHeight="1"/>
    <row r="318" ht="14.25" customHeight="1">
      <c r="A318" s="147" t="s">
        <v>610</v>
      </c>
      <c r="B318" s="151">
        <f>IFERROR(D327/D318,0)</f>
        <v>66.75190627</v>
      </c>
      <c r="C318" s="152" t="s">
        <v>478</v>
      </c>
      <c r="D318" s="154">
        <f>SUM(B320:B326)*90%</f>
        <v>254.7</v>
      </c>
      <c r="E318" s="155" t="s">
        <v>24</v>
      </c>
    </row>
    <row r="319" ht="14.25" customHeight="1">
      <c r="A319" s="156" t="s">
        <v>420</v>
      </c>
      <c r="B319" s="154" t="s">
        <v>482</v>
      </c>
      <c r="C319" s="154" t="s">
        <v>483</v>
      </c>
      <c r="D319" s="154" t="s">
        <v>484</v>
      </c>
      <c r="E319" s="155" t="s">
        <v>17</v>
      </c>
    </row>
    <row r="320" ht="14.25" customHeight="1">
      <c r="A320" s="14" t="s">
        <v>466</v>
      </c>
      <c r="B320" s="15">
        <v>200.0</v>
      </c>
      <c r="C320" s="17">
        <f>IFERROR(VLOOKUP(A320,'Market List'!$B:$F,5,FALSE),0)</f>
        <v>38.42105263</v>
      </c>
      <c r="D320" s="17">
        <f t="shared" ref="D320:D326" si="28">IFERROR(B320*C320,0)</f>
        <v>7684.210526</v>
      </c>
      <c r="E320" s="24"/>
    </row>
    <row r="321" ht="14.25" customHeight="1">
      <c r="A321" s="25" t="s">
        <v>542</v>
      </c>
      <c r="B321" s="26">
        <v>2.0</v>
      </c>
      <c r="C321" s="28">
        <f>IFERROR(VLOOKUP(A321,'Market List'!$B:$F,5,FALSE),0)</f>
        <v>130</v>
      </c>
      <c r="D321" s="28">
        <f t="shared" si="28"/>
        <v>260</v>
      </c>
      <c r="E321" s="32"/>
    </row>
    <row r="322" ht="14.25" customHeight="1">
      <c r="A322" s="25" t="s">
        <v>543</v>
      </c>
      <c r="B322" s="26">
        <v>40.0</v>
      </c>
      <c r="C322" s="28">
        <f>IFERROR(VLOOKUP(A322,'Market List'!$B:$F,5,FALSE),0)</f>
        <v>18</v>
      </c>
      <c r="D322" s="28">
        <f t="shared" si="28"/>
        <v>720</v>
      </c>
      <c r="E322" s="32"/>
    </row>
    <row r="323" ht="14.25" customHeight="1">
      <c r="A323" s="25" t="s">
        <v>548</v>
      </c>
      <c r="B323" s="26">
        <v>15.0</v>
      </c>
      <c r="C323" s="28">
        <f>IFERROR(VLOOKUP(A323,'Market List'!$B:$F,5,FALSE),0)</f>
        <v>22.5</v>
      </c>
      <c r="D323" s="28">
        <f t="shared" si="28"/>
        <v>337.5</v>
      </c>
      <c r="E323" s="32"/>
    </row>
    <row r="324" ht="14.25" customHeight="1">
      <c r="A324" s="25" t="s">
        <v>552</v>
      </c>
      <c r="B324" s="26">
        <v>5.0</v>
      </c>
      <c r="C324" s="28">
        <f>IFERROR(VLOOKUP(A324,'Market List'!$B:$F,5,FALSE),0)</f>
        <v>860</v>
      </c>
      <c r="D324" s="28">
        <f t="shared" si="28"/>
        <v>4300</v>
      </c>
      <c r="E324" s="32"/>
    </row>
    <row r="325" ht="14.25" customHeight="1">
      <c r="A325" s="25" t="s">
        <v>550</v>
      </c>
      <c r="B325" s="26">
        <v>20.0</v>
      </c>
      <c r="C325" s="28">
        <f>IFERROR(VLOOKUP(A325,'Market List'!$B:$F,5,FALSE),0)</f>
        <v>140</v>
      </c>
      <c r="D325" s="28">
        <f t="shared" si="28"/>
        <v>2800</v>
      </c>
      <c r="E325" s="32"/>
    </row>
    <row r="326" ht="14.25" customHeight="1">
      <c r="A326" s="36" t="s">
        <v>551</v>
      </c>
      <c r="B326" s="37">
        <v>1.0</v>
      </c>
      <c r="C326" s="38">
        <f>IFERROR(VLOOKUP(A326,'Market List'!$B:$F,5,FALSE),0)</f>
        <v>900</v>
      </c>
      <c r="D326" s="38">
        <f t="shared" si="28"/>
        <v>900</v>
      </c>
      <c r="E326" s="41"/>
    </row>
    <row r="327" ht="14.25" customHeight="1">
      <c r="A327" s="156" t="s">
        <v>515</v>
      </c>
      <c r="B327" s="154"/>
      <c r="C327" s="154"/>
      <c r="D327" s="181">
        <f>SUM(D320:D326)</f>
        <v>17001.71053</v>
      </c>
      <c r="E327" s="155" t="s">
        <v>668</v>
      </c>
    </row>
    <row r="328" ht="14.25" customHeight="1"/>
    <row r="329" ht="14.25" customHeight="1">
      <c r="A329" s="147" t="s">
        <v>194</v>
      </c>
      <c r="B329" s="151">
        <f>IFERROR(D337/D329,0)</f>
        <v>68.9389297</v>
      </c>
      <c r="C329" s="152" t="s">
        <v>478</v>
      </c>
      <c r="D329" s="154">
        <f>SUM(B331:B336)</f>
        <v>200</v>
      </c>
      <c r="E329" s="155" t="s">
        <v>24</v>
      </c>
    </row>
    <row r="330" ht="14.25" customHeight="1">
      <c r="A330" s="156" t="s">
        <v>420</v>
      </c>
      <c r="B330" s="154" t="s">
        <v>482</v>
      </c>
      <c r="C330" s="154" t="s">
        <v>483</v>
      </c>
      <c r="D330" s="154" t="s">
        <v>484</v>
      </c>
      <c r="E330" s="155" t="s">
        <v>17</v>
      </c>
    </row>
    <row r="331" ht="14.25" customHeight="1">
      <c r="A331" s="14" t="s">
        <v>610</v>
      </c>
      <c r="B331" s="15">
        <v>150.0</v>
      </c>
      <c r="C331" s="17">
        <f>'WIP FOOD'!$B$318</f>
        <v>66.75190627</v>
      </c>
      <c r="D331" s="17">
        <f t="shared" ref="D331:D336" si="29">IFERROR(B331*C331,0)</f>
        <v>10012.78594</v>
      </c>
      <c r="E331" s="24"/>
    </row>
    <row r="332" ht="14.25" customHeight="1">
      <c r="A332" s="25" t="s">
        <v>541</v>
      </c>
      <c r="B332" s="26">
        <v>50.0</v>
      </c>
      <c r="C332" s="28">
        <f>IFERROR(VLOOKUP(A332,'Market List'!$B:$F,5,FALSE),0)</f>
        <v>75.5</v>
      </c>
      <c r="D332" s="28">
        <f t="shared" si="29"/>
        <v>3775</v>
      </c>
      <c r="E332" s="32"/>
    </row>
    <row r="333" ht="14.25" customHeight="1">
      <c r="A333" s="25"/>
      <c r="B333" s="26"/>
      <c r="C333" s="28"/>
      <c r="D333" s="28">
        <f t="shared" si="29"/>
        <v>0</v>
      </c>
      <c r="E333" s="32"/>
    </row>
    <row r="334" ht="14.25" customHeight="1">
      <c r="A334" s="25"/>
      <c r="B334" s="26"/>
      <c r="C334" s="28"/>
      <c r="D334" s="28">
        <f t="shared" si="29"/>
        <v>0</v>
      </c>
      <c r="E334" s="32"/>
    </row>
    <row r="335" ht="14.25" customHeight="1">
      <c r="A335" s="25"/>
      <c r="B335" s="26"/>
      <c r="C335" s="28"/>
      <c r="D335" s="28">
        <f t="shared" si="29"/>
        <v>0</v>
      </c>
      <c r="E335" s="32"/>
    </row>
    <row r="336" ht="14.25" customHeight="1">
      <c r="A336" s="36"/>
      <c r="B336" s="37"/>
      <c r="C336" s="38"/>
      <c r="D336" s="38">
        <f t="shared" si="29"/>
        <v>0</v>
      </c>
      <c r="E336" s="41"/>
    </row>
    <row r="337" ht="14.25" customHeight="1">
      <c r="A337" s="156" t="s">
        <v>515</v>
      </c>
      <c r="B337" s="154"/>
      <c r="C337" s="154"/>
      <c r="D337" s="181">
        <f>SUM(D331:D336)</f>
        <v>13787.78594</v>
      </c>
      <c r="E337" s="155" t="s">
        <v>669</v>
      </c>
    </row>
    <row r="338" ht="14.25" customHeight="1"/>
    <row r="339" ht="14.25" customHeight="1">
      <c r="A339" s="147" t="s">
        <v>230</v>
      </c>
      <c r="B339" s="151">
        <f>IFERROR(D347/D339,0)</f>
        <v>101.9616028</v>
      </c>
      <c r="C339" s="152" t="s">
        <v>478</v>
      </c>
      <c r="D339" s="154">
        <f>SUM(B341:B346)*90%</f>
        <v>279.9</v>
      </c>
      <c r="E339" s="155" t="s">
        <v>24</v>
      </c>
    </row>
    <row r="340" ht="14.25" customHeight="1">
      <c r="A340" s="156" t="s">
        <v>420</v>
      </c>
      <c r="B340" s="154" t="s">
        <v>482</v>
      </c>
      <c r="C340" s="154" t="s">
        <v>483</v>
      </c>
      <c r="D340" s="154" t="s">
        <v>484</v>
      </c>
      <c r="E340" s="155" t="s">
        <v>17</v>
      </c>
    </row>
    <row r="341" ht="14.25" customHeight="1">
      <c r="A341" s="14" t="s">
        <v>466</v>
      </c>
      <c r="B341" s="15">
        <v>126.0</v>
      </c>
      <c r="C341" s="17">
        <f>IFERROR(VLOOKUP(A341,'Market List'!$B:$F,5,FALSE),0)</f>
        <v>38.42105263</v>
      </c>
      <c r="D341" s="17">
        <f t="shared" ref="D341:D346" si="30">IFERROR(B341*C341,0)</f>
        <v>4841.052632</v>
      </c>
      <c r="E341" s="24"/>
    </row>
    <row r="342" ht="14.25" customHeight="1">
      <c r="A342" s="25" t="s">
        <v>543</v>
      </c>
      <c r="B342" s="26">
        <v>90.0</v>
      </c>
      <c r="C342" s="28">
        <f>IFERROR(VLOOKUP(A342,'Market List'!$B:$F,5,FALSE),0)</f>
        <v>18</v>
      </c>
      <c r="D342" s="28">
        <f t="shared" si="30"/>
        <v>1620</v>
      </c>
      <c r="E342" s="32"/>
    </row>
    <row r="343" ht="14.25" customHeight="1">
      <c r="A343" s="25" t="s">
        <v>552</v>
      </c>
      <c r="B343" s="26">
        <v>19.0</v>
      </c>
      <c r="C343" s="28">
        <f>IFERROR(VLOOKUP(A343,'Market List'!$B:$F,5,FALSE),0)</f>
        <v>860</v>
      </c>
      <c r="D343" s="28">
        <f t="shared" si="30"/>
        <v>16340</v>
      </c>
      <c r="E343" s="32"/>
    </row>
    <row r="344" ht="14.25" customHeight="1">
      <c r="A344" s="25" t="s">
        <v>547</v>
      </c>
      <c r="B344" s="26">
        <v>76.0</v>
      </c>
      <c r="C344" s="28">
        <f>IFERROR(VLOOKUP(A344,'Market List'!$B:$F,5,FALSE),0)</f>
        <v>75.5</v>
      </c>
      <c r="D344" s="28">
        <f t="shared" si="30"/>
        <v>5738</v>
      </c>
      <c r="E344" s="32"/>
    </row>
    <row r="345" ht="14.25" customHeight="1">
      <c r="A345" s="25"/>
      <c r="B345" s="26"/>
      <c r="C345" s="28"/>
      <c r="D345" s="28">
        <f t="shared" si="30"/>
        <v>0</v>
      </c>
      <c r="E345" s="32"/>
    </row>
    <row r="346" ht="14.25" customHeight="1">
      <c r="A346" s="36"/>
      <c r="B346" s="37"/>
      <c r="C346" s="38"/>
      <c r="D346" s="38">
        <f t="shared" si="30"/>
        <v>0</v>
      </c>
      <c r="E346" s="41"/>
    </row>
    <row r="347" ht="14.25" customHeight="1">
      <c r="A347" s="156" t="s">
        <v>515</v>
      </c>
      <c r="B347" s="154"/>
      <c r="C347" s="154"/>
      <c r="D347" s="181">
        <f>SUM(D341:D346)</f>
        <v>28539.05263</v>
      </c>
      <c r="E347" s="155" t="s">
        <v>670</v>
      </c>
    </row>
    <row r="348" ht="14.25" customHeight="1"/>
    <row r="349" ht="14.25" customHeight="1">
      <c r="A349" s="147" t="s">
        <v>410</v>
      </c>
      <c r="B349" s="151">
        <f>IFERROR(D360/D349,0)</f>
        <v>119.3736412</v>
      </c>
      <c r="C349" s="152" t="s">
        <v>478</v>
      </c>
      <c r="D349" s="154">
        <f>SUM(B351:B359)</f>
        <v>653</v>
      </c>
      <c r="E349" s="155" t="s">
        <v>582</v>
      </c>
    </row>
    <row r="350" ht="14.25" customHeight="1">
      <c r="A350" s="156" t="s">
        <v>420</v>
      </c>
      <c r="B350" s="154" t="s">
        <v>482</v>
      </c>
      <c r="C350" s="154" t="s">
        <v>483</v>
      </c>
      <c r="D350" s="154" t="s">
        <v>484</v>
      </c>
      <c r="E350" s="155" t="s">
        <v>17</v>
      </c>
    </row>
    <row r="351" ht="14.25" customHeight="1">
      <c r="A351" s="14" t="s">
        <v>434</v>
      </c>
      <c r="B351" s="15">
        <v>400.0</v>
      </c>
      <c r="C351" s="17">
        <f>IFERROR(VLOOKUP(A351,'Market List'!$B:$F,5,FALSE),0)</f>
        <v>138.7777778</v>
      </c>
      <c r="D351" s="17">
        <f t="shared" ref="D351:D359" si="31">IFERROR(B351*C351,0)</f>
        <v>55511.11111</v>
      </c>
      <c r="E351" s="24" t="s">
        <v>671</v>
      </c>
    </row>
    <row r="352" ht="14.25" customHeight="1">
      <c r="A352" s="25" t="s">
        <v>433</v>
      </c>
      <c r="B352" s="26">
        <v>40.0</v>
      </c>
      <c r="C352" s="28">
        <f>IFERROR(VLOOKUP(A352,'Market List'!$B:$F,5,FALSE),0)</f>
        <v>155.5</v>
      </c>
      <c r="D352" s="28">
        <f t="shared" si="31"/>
        <v>6220</v>
      </c>
      <c r="E352" s="32" t="s">
        <v>672</v>
      </c>
    </row>
    <row r="353" ht="14.25" customHeight="1">
      <c r="A353" s="25" t="s">
        <v>367</v>
      </c>
      <c r="B353" s="26">
        <v>5.0</v>
      </c>
      <c r="C353" s="28">
        <f>IFERROR(VLOOKUP(A353,'Market List'!$B:$F,5,FALSE),0)</f>
        <v>200</v>
      </c>
      <c r="D353" s="28">
        <f t="shared" si="31"/>
        <v>1000</v>
      </c>
      <c r="E353" s="32"/>
    </row>
    <row r="354" ht="14.25" customHeight="1">
      <c r="A354" s="25" t="s">
        <v>499</v>
      </c>
      <c r="B354" s="26">
        <v>25.0</v>
      </c>
      <c r="C354" s="28">
        <f>IFERROR(VLOOKUP(A354,'Market List'!$B:$F,5,FALSE),0)</f>
        <v>64.93506494</v>
      </c>
      <c r="D354" s="28">
        <f t="shared" si="31"/>
        <v>1623.376623</v>
      </c>
      <c r="E354" s="32"/>
    </row>
    <row r="355" ht="14.25" customHeight="1">
      <c r="A355" s="25" t="s">
        <v>443</v>
      </c>
      <c r="B355" s="26">
        <v>100.0</v>
      </c>
      <c r="C355" s="28">
        <f>IFERROR(VLOOKUP(A355,'Market List'!$B:$F,5,FALSE),0)</f>
        <v>75</v>
      </c>
      <c r="D355" s="28">
        <f t="shared" si="31"/>
        <v>7500</v>
      </c>
      <c r="E355" s="32"/>
    </row>
    <row r="356" ht="14.25" customHeight="1">
      <c r="A356" s="25" t="s">
        <v>436</v>
      </c>
      <c r="B356" s="26">
        <v>30.0</v>
      </c>
      <c r="C356" s="28">
        <f>IFERROR(VLOOKUP(A356,'Market List'!$B:$F,5,FALSE),0)</f>
        <v>18</v>
      </c>
      <c r="D356" s="28">
        <f t="shared" si="31"/>
        <v>540</v>
      </c>
      <c r="E356" s="32"/>
    </row>
    <row r="357" ht="14.25" customHeight="1">
      <c r="A357" s="25" t="s">
        <v>374</v>
      </c>
      <c r="B357" s="26">
        <v>30.0</v>
      </c>
      <c r="C357" s="28">
        <f>IFERROR(VLOOKUP(A357,'Market List'!$B:$F,5,FALSE),0)</f>
        <v>140</v>
      </c>
      <c r="D357" s="28">
        <f t="shared" si="31"/>
        <v>4200</v>
      </c>
      <c r="E357" s="32"/>
    </row>
    <row r="358" ht="14.25" customHeight="1">
      <c r="A358" s="25" t="s">
        <v>412</v>
      </c>
      <c r="B358" s="26">
        <v>8.0</v>
      </c>
      <c r="C358" s="28">
        <f>IFERROR(VLOOKUP(A358,'Market List'!$B:$F,5,FALSE),0)</f>
        <v>136</v>
      </c>
      <c r="D358" s="28">
        <f t="shared" si="31"/>
        <v>1088</v>
      </c>
      <c r="E358" s="32"/>
    </row>
    <row r="359" ht="14.25" customHeight="1">
      <c r="A359" s="36" t="s">
        <v>450</v>
      </c>
      <c r="B359" s="37">
        <v>15.0</v>
      </c>
      <c r="C359" s="38">
        <f>IFERROR(VLOOKUP(A359,'Market List'!$B:$F,5,FALSE),0)</f>
        <v>17.9</v>
      </c>
      <c r="D359" s="38">
        <f t="shared" si="31"/>
        <v>268.5</v>
      </c>
      <c r="E359" s="41"/>
    </row>
    <row r="360" ht="14.25" customHeight="1">
      <c r="A360" s="156" t="s">
        <v>515</v>
      </c>
      <c r="B360" s="154"/>
      <c r="C360" s="154"/>
      <c r="D360" s="181">
        <f>SUM(D351:D359)</f>
        <v>77950.98773</v>
      </c>
      <c r="E360" s="155" t="s">
        <v>518</v>
      </c>
    </row>
    <row r="361" ht="14.25" customHeight="1"/>
    <row r="362" ht="14.25" customHeight="1">
      <c r="A362" s="147" t="s">
        <v>79</v>
      </c>
      <c r="B362" s="151">
        <f>IFERROR(D370/D362,0)</f>
        <v>163.4154588</v>
      </c>
      <c r="C362" s="152" t="s">
        <v>478</v>
      </c>
      <c r="D362" s="154">
        <f>SUM(B364:B369)</f>
        <v>425</v>
      </c>
      <c r="E362" s="155" t="s">
        <v>582</v>
      </c>
    </row>
    <row r="363" ht="14.25" customHeight="1">
      <c r="A363" s="156" t="s">
        <v>420</v>
      </c>
      <c r="B363" s="154" t="s">
        <v>482</v>
      </c>
      <c r="C363" s="154" t="s">
        <v>483</v>
      </c>
      <c r="D363" s="154" t="s">
        <v>484</v>
      </c>
      <c r="E363" s="155" t="s">
        <v>17</v>
      </c>
    </row>
    <row r="364" ht="14.25" customHeight="1">
      <c r="A364" s="14" t="s">
        <v>41</v>
      </c>
      <c r="B364" s="15">
        <v>300.0</v>
      </c>
      <c r="C364" s="17">
        <f>IFERROR(VLOOKUP(A364,'Market List'!$B:$F,5,FALSE),0)</f>
        <v>72.3</v>
      </c>
      <c r="D364" s="17">
        <f t="shared" ref="D364:D369" si="32">IFERROR(B364*C364,0)</f>
        <v>21690</v>
      </c>
      <c r="E364" s="24" t="s">
        <v>673</v>
      </c>
    </row>
    <row r="365" ht="14.25" customHeight="1">
      <c r="A365" s="25" t="s">
        <v>462</v>
      </c>
      <c r="B365" s="26">
        <v>90.0</v>
      </c>
      <c r="C365" s="28">
        <f>IFERROR(VLOOKUP(A365,'Market List'!$B:$F,5,FALSE),0)</f>
        <v>519.998</v>
      </c>
      <c r="D365" s="28">
        <f t="shared" si="32"/>
        <v>46799.82</v>
      </c>
      <c r="E365" s="32"/>
    </row>
    <row r="366" ht="14.25" customHeight="1">
      <c r="A366" s="25" t="s">
        <v>450</v>
      </c>
      <c r="B366" s="26">
        <v>30.0</v>
      </c>
      <c r="C366" s="28">
        <f>IFERROR(VLOOKUP(A366,'Market List'!$B:$F,5,FALSE),0)</f>
        <v>17.9</v>
      </c>
      <c r="D366" s="28">
        <f t="shared" si="32"/>
        <v>537</v>
      </c>
      <c r="E366" s="32"/>
    </row>
    <row r="367" ht="14.25" customHeight="1">
      <c r="A367" s="25" t="s">
        <v>463</v>
      </c>
      <c r="B367" s="26">
        <v>5.0</v>
      </c>
      <c r="C367" s="28">
        <f>IFERROR(VLOOKUP(A367,'Market List'!$B:$F,5,FALSE),0)</f>
        <v>84.95</v>
      </c>
      <c r="D367" s="28">
        <f t="shared" si="32"/>
        <v>424.75</v>
      </c>
      <c r="E367" s="32"/>
    </row>
    <row r="368" ht="14.25" customHeight="1">
      <c r="A368" s="25"/>
      <c r="B368" s="26"/>
      <c r="C368" s="28"/>
      <c r="D368" s="28">
        <f t="shared" si="32"/>
        <v>0</v>
      </c>
      <c r="E368" s="32"/>
    </row>
    <row r="369" ht="14.25" customHeight="1">
      <c r="A369" s="36"/>
      <c r="B369" s="37"/>
      <c r="C369" s="38"/>
      <c r="D369" s="38">
        <f t="shared" si="32"/>
        <v>0</v>
      </c>
      <c r="E369" s="41"/>
    </row>
    <row r="370" ht="14.25" customHeight="1">
      <c r="A370" s="156" t="s">
        <v>515</v>
      </c>
      <c r="B370" s="154"/>
      <c r="C370" s="154"/>
      <c r="D370" s="181">
        <f>SUM(D364:D369)</f>
        <v>69451.57</v>
      </c>
      <c r="E370" s="155" t="s">
        <v>518</v>
      </c>
    </row>
    <row r="371" ht="14.25" customHeight="1"/>
    <row r="372" ht="14.25" customHeight="1">
      <c r="A372" s="147" t="s">
        <v>77</v>
      </c>
      <c r="B372" s="151">
        <f>IFERROR(D389/D372,0)</f>
        <v>94.38826313</v>
      </c>
      <c r="C372" s="152" t="s">
        <v>478</v>
      </c>
      <c r="D372" s="154">
        <f>SUM(B374:B388)</f>
        <v>5550</v>
      </c>
      <c r="E372" s="155" t="s">
        <v>582</v>
      </c>
    </row>
    <row r="373" ht="14.25" customHeight="1">
      <c r="A373" s="156" t="s">
        <v>420</v>
      </c>
      <c r="B373" s="154" t="s">
        <v>482</v>
      </c>
      <c r="C373" s="154" t="s">
        <v>483</v>
      </c>
      <c r="D373" s="154" t="s">
        <v>484</v>
      </c>
      <c r="E373" s="155" t="s">
        <v>17</v>
      </c>
    </row>
    <row r="374" ht="14.25" customHeight="1">
      <c r="A374" s="14" t="s">
        <v>497</v>
      </c>
      <c r="B374" s="15">
        <v>3000.0</v>
      </c>
      <c r="C374" s="17">
        <f>IFERROR(VLOOKUP(A374,'Market List'!$B:$F,5,FALSE),0)</f>
        <v>113</v>
      </c>
      <c r="D374" s="17">
        <f t="shared" ref="D374:D388" si="33">IFERROR(B374*C374,0)</f>
        <v>339000</v>
      </c>
      <c r="E374" s="24" t="s">
        <v>674</v>
      </c>
    </row>
    <row r="375" ht="14.25" customHeight="1">
      <c r="A375" s="25" t="s">
        <v>103</v>
      </c>
      <c r="B375" s="26">
        <v>700.0</v>
      </c>
      <c r="C375" s="28">
        <f>IFERROR(VLOOKUP(A375,'Market List'!$B:$F,5,FALSE),0)</f>
        <v>35</v>
      </c>
      <c r="D375" s="28">
        <f t="shared" si="33"/>
        <v>24500</v>
      </c>
      <c r="E375" s="32" t="s">
        <v>675</v>
      </c>
    </row>
    <row r="376" ht="14.25" customHeight="1">
      <c r="A376" s="25" t="s">
        <v>412</v>
      </c>
      <c r="B376" s="26">
        <v>20.0</v>
      </c>
      <c r="C376" s="28">
        <f>IFERROR(VLOOKUP(A376,'Market List'!$B:$F,5,FALSE),0)</f>
        <v>136</v>
      </c>
      <c r="D376" s="28">
        <f t="shared" si="33"/>
        <v>2720</v>
      </c>
      <c r="E376" s="32" t="s">
        <v>676</v>
      </c>
    </row>
    <row r="377" ht="14.25" customHeight="1">
      <c r="A377" s="25" t="s">
        <v>41</v>
      </c>
      <c r="B377" s="26">
        <v>160.0</v>
      </c>
      <c r="C377" s="28">
        <f>IFERROR(VLOOKUP(A377,'Market List'!$B:$F,5,FALSE),0)</f>
        <v>72.3</v>
      </c>
      <c r="D377" s="28">
        <f t="shared" si="33"/>
        <v>11568</v>
      </c>
      <c r="E377" s="32" t="s">
        <v>677</v>
      </c>
    </row>
    <row r="378" ht="14.25" customHeight="1">
      <c r="A378" s="25" t="s">
        <v>499</v>
      </c>
      <c r="B378" s="26">
        <v>160.0</v>
      </c>
      <c r="C378" s="28">
        <f>IFERROR(VLOOKUP(A378,'Market List'!$B:$F,5,FALSE),0)</f>
        <v>64.93506494</v>
      </c>
      <c r="D378" s="28">
        <f t="shared" si="33"/>
        <v>10389.61039</v>
      </c>
      <c r="E378" s="32" t="s">
        <v>678</v>
      </c>
    </row>
    <row r="379" ht="14.25" customHeight="1">
      <c r="A379" s="25" t="s">
        <v>465</v>
      </c>
      <c r="B379" s="26">
        <v>50.0</v>
      </c>
      <c r="C379" s="28">
        <f>IFERROR(VLOOKUP(A379,'Market List'!$B:$F,5,FALSE),0)</f>
        <v>75</v>
      </c>
      <c r="D379" s="28">
        <f t="shared" si="33"/>
        <v>3750</v>
      </c>
      <c r="E379" s="32" t="s">
        <v>679</v>
      </c>
    </row>
    <row r="380" ht="14.25" customHeight="1">
      <c r="A380" s="25" t="s">
        <v>425</v>
      </c>
      <c r="B380" s="26">
        <v>20.0</v>
      </c>
      <c r="C380" s="28">
        <f>IFERROR(VLOOKUP(A380,'Market List'!$B:$F,5,FALSE),0)</f>
        <v>16</v>
      </c>
      <c r="D380" s="28">
        <f t="shared" si="33"/>
        <v>320</v>
      </c>
      <c r="E380" s="32" t="s">
        <v>680</v>
      </c>
    </row>
    <row r="381" ht="14.25" customHeight="1">
      <c r="A381" s="25" t="s">
        <v>440</v>
      </c>
      <c r="B381" s="26">
        <v>35.0</v>
      </c>
      <c r="C381" s="28">
        <f>IFERROR(VLOOKUP(A381,'Market List'!$B:$F,5,FALSE),0)</f>
        <v>37</v>
      </c>
      <c r="D381" s="28">
        <f t="shared" si="33"/>
        <v>1295</v>
      </c>
      <c r="E381" s="32" t="s">
        <v>681</v>
      </c>
    </row>
    <row r="382" ht="14.25" customHeight="1">
      <c r="A382" s="25" t="s">
        <v>477</v>
      </c>
      <c r="B382" s="26">
        <v>310.0</v>
      </c>
      <c r="C382" s="28">
        <f>IFERROR(VLOOKUP(A382,'Market List'!$B:$F,5,FALSE),0)</f>
        <v>117.25</v>
      </c>
      <c r="D382" s="28">
        <f t="shared" si="33"/>
        <v>36347.5</v>
      </c>
      <c r="E382" s="32"/>
    </row>
    <row r="383" ht="14.25" customHeight="1">
      <c r="A383" s="25" t="s">
        <v>234</v>
      </c>
      <c r="B383" s="26">
        <v>350.0</v>
      </c>
      <c r="C383" s="28">
        <f>IFERROR(VLOOKUP(A383,'Market List'!$B:$F,5,FALSE),0)</f>
        <v>91.05</v>
      </c>
      <c r="D383" s="28">
        <f t="shared" si="33"/>
        <v>31867.5</v>
      </c>
      <c r="E383" s="32" t="s">
        <v>500</v>
      </c>
    </row>
    <row r="384" ht="14.25" customHeight="1">
      <c r="A384" s="25" t="s">
        <v>480</v>
      </c>
      <c r="B384" s="26">
        <v>200.0</v>
      </c>
      <c r="C384" s="28">
        <f>IFERROR(VLOOKUP(A384,'Market List'!$B:$F,5,FALSE),0)</f>
        <v>150</v>
      </c>
      <c r="D384" s="28">
        <f t="shared" si="33"/>
        <v>30000</v>
      </c>
      <c r="E384" s="32" t="s">
        <v>682</v>
      </c>
    </row>
    <row r="385" ht="14.25" customHeight="1">
      <c r="A385" s="25" t="s">
        <v>331</v>
      </c>
      <c r="B385" s="26">
        <v>30.0</v>
      </c>
      <c r="C385" s="28">
        <f>IFERROR(VLOOKUP(A385,'Market List'!$B:$F,5,FALSE),0)</f>
        <v>16</v>
      </c>
      <c r="D385" s="28">
        <f t="shared" si="33"/>
        <v>480</v>
      </c>
      <c r="E385" s="32"/>
    </row>
    <row r="386" ht="14.25" customHeight="1">
      <c r="A386" s="25" t="s">
        <v>501</v>
      </c>
      <c r="B386" s="26">
        <v>14.0</v>
      </c>
      <c r="C386" s="28">
        <f>IFERROR(VLOOKUP(A386,'Market List'!$B:$F,5,FALSE),0)</f>
        <v>1785.714286</v>
      </c>
      <c r="D386" s="28">
        <f t="shared" si="33"/>
        <v>25000</v>
      </c>
      <c r="E386" s="32"/>
    </row>
    <row r="387" ht="14.25" customHeight="1">
      <c r="A387" s="25" t="s">
        <v>503</v>
      </c>
      <c r="B387" s="26">
        <v>1.0</v>
      </c>
      <c r="C387" s="28">
        <f>IFERROR(VLOOKUP(A387,'Market List'!$B:$F,5,FALSE),0)</f>
        <v>117.25</v>
      </c>
      <c r="D387" s="28">
        <f t="shared" si="33"/>
        <v>117.25</v>
      </c>
      <c r="E387" s="32"/>
    </row>
    <row r="388" ht="14.25" customHeight="1">
      <c r="A388" s="36" t="s">
        <v>505</v>
      </c>
      <c r="B388" s="37">
        <v>500.0</v>
      </c>
      <c r="C388" s="38">
        <f>IFERROR(VLOOKUP(A388,'Market List'!$B:$F,5,FALSE),0)</f>
        <v>13</v>
      </c>
      <c r="D388" s="38">
        <f t="shared" si="33"/>
        <v>6500</v>
      </c>
      <c r="E388" s="41"/>
    </row>
    <row r="389" ht="14.25" customHeight="1">
      <c r="A389" s="156" t="s">
        <v>515</v>
      </c>
      <c r="B389" s="154"/>
      <c r="C389" s="154"/>
      <c r="D389" s="181">
        <f>SUM(D374:D388)</f>
        <v>523854.8604</v>
      </c>
      <c r="E389" s="155" t="s">
        <v>518</v>
      </c>
    </row>
    <row r="390" ht="14.25" customHeight="1"/>
    <row r="391" ht="14.25" customHeight="1">
      <c r="A391" s="147" t="s">
        <v>362</v>
      </c>
      <c r="B391" s="151">
        <f>IFERROR(D399/D391,0)</f>
        <v>8.738938053</v>
      </c>
      <c r="C391" s="152" t="s">
        <v>478</v>
      </c>
      <c r="D391" s="154">
        <f>SUM(B393:B398)*90%</f>
        <v>1017</v>
      </c>
      <c r="E391" s="155" t="s">
        <v>582</v>
      </c>
    </row>
    <row r="392" ht="14.25" customHeight="1">
      <c r="A392" s="156" t="s">
        <v>420</v>
      </c>
      <c r="B392" s="154" t="s">
        <v>482</v>
      </c>
      <c r="C392" s="154" t="s">
        <v>483</v>
      </c>
      <c r="D392" s="154" t="s">
        <v>484</v>
      </c>
      <c r="E392" s="155" t="s">
        <v>17</v>
      </c>
    </row>
    <row r="393" ht="14.25" customHeight="1">
      <c r="A393" s="14" t="s">
        <v>496</v>
      </c>
      <c r="B393" s="15">
        <v>1000.0</v>
      </c>
      <c r="C393" s="17">
        <f>IFERROR(VLOOKUP(A393,'Market List'!$B:$F,5,FALSE),0)</f>
        <v>0</v>
      </c>
      <c r="D393" s="17">
        <f t="shared" ref="D393:D398" si="34">IFERROR(B393*C393,0)</f>
        <v>0</v>
      </c>
      <c r="E393" s="24" t="s">
        <v>683</v>
      </c>
    </row>
    <row r="394" ht="14.25" customHeight="1">
      <c r="A394" s="25" t="s">
        <v>487</v>
      </c>
      <c r="B394" s="26">
        <v>30.0</v>
      </c>
      <c r="C394" s="28">
        <f>IFERROR(VLOOKUP(A394,'Market List'!$B:$F,5,FALSE),0)</f>
        <v>155.5</v>
      </c>
      <c r="D394" s="28">
        <f t="shared" si="34"/>
        <v>4665</v>
      </c>
      <c r="E394" s="32" t="s">
        <v>684</v>
      </c>
    </row>
    <row r="395" ht="14.25" customHeight="1">
      <c r="A395" s="25" t="s">
        <v>507</v>
      </c>
      <c r="B395" s="26">
        <v>85.0</v>
      </c>
      <c r="C395" s="28">
        <f>IFERROR(VLOOKUP(A395,'Market List'!$B:$F,5,FALSE),0)</f>
        <v>46.5</v>
      </c>
      <c r="D395" s="28">
        <f t="shared" si="34"/>
        <v>3952.5</v>
      </c>
      <c r="E395" s="32" t="s">
        <v>685</v>
      </c>
    </row>
    <row r="396" ht="14.25" customHeight="1">
      <c r="A396" s="25" t="s">
        <v>436</v>
      </c>
      <c r="B396" s="26">
        <v>15.0</v>
      </c>
      <c r="C396" s="28">
        <f>IFERROR(VLOOKUP(A396,'Market List'!$B:$F,5,FALSE),0)</f>
        <v>18</v>
      </c>
      <c r="D396" s="28">
        <f t="shared" si="34"/>
        <v>270</v>
      </c>
      <c r="E396" s="32" t="s">
        <v>686</v>
      </c>
    </row>
    <row r="397" ht="14.25" customHeight="1">
      <c r="A397" s="25"/>
      <c r="B397" s="26"/>
      <c r="C397" s="28"/>
      <c r="D397" s="28">
        <f t="shared" si="34"/>
        <v>0</v>
      </c>
      <c r="E397" s="32"/>
    </row>
    <row r="398" ht="14.25" customHeight="1">
      <c r="A398" s="36"/>
      <c r="B398" s="37"/>
      <c r="C398" s="38"/>
      <c r="D398" s="38">
        <f t="shared" si="34"/>
        <v>0</v>
      </c>
      <c r="E398" s="41"/>
    </row>
    <row r="399" ht="14.25" customHeight="1">
      <c r="A399" s="156" t="s">
        <v>515</v>
      </c>
      <c r="B399" s="154"/>
      <c r="C399" s="154"/>
      <c r="D399" s="181">
        <f>SUM(D393:D398)</f>
        <v>8887.5</v>
      </c>
      <c r="E399" s="155" t="s">
        <v>518</v>
      </c>
    </row>
    <row r="400" ht="14.25" customHeight="1"/>
    <row r="401" ht="14.25" customHeight="1">
      <c r="A401" s="147" t="s">
        <v>221</v>
      </c>
      <c r="B401" s="151">
        <f>IFERROR(D409/D401,0)</f>
        <v>41.78322519</v>
      </c>
      <c r="C401" s="152" t="s">
        <v>478</v>
      </c>
      <c r="D401" s="154">
        <f>SUM(B403:B408)*90%</f>
        <v>328.5</v>
      </c>
      <c r="E401" s="155" t="s">
        <v>22</v>
      </c>
    </row>
    <row r="402" ht="14.25" customHeight="1">
      <c r="A402" s="156" t="s">
        <v>420</v>
      </c>
      <c r="B402" s="154" t="s">
        <v>482</v>
      </c>
      <c r="C402" s="154" t="s">
        <v>483</v>
      </c>
      <c r="D402" s="154" t="s">
        <v>484</v>
      </c>
      <c r="E402" s="155" t="s">
        <v>17</v>
      </c>
    </row>
    <row r="403" ht="14.25" customHeight="1">
      <c r="A403" s="14" t="s">
        <v>569</v>
      </c>
      <c r="B403" s="15">
        <v>110.0</v>
      </c>
      <c r="C403" s="17">
        <f>IFERROR(VLOOKUP(A403,'Market List'!$B:$F,5,FALSE),0)</f>
        <v>34</v>
      </c>
      <c r="D403" s="17">
        <f t="shared" ref="D403:D408" si="35">IFERROR(B403*C403,0)</f>
        <v>3740</v>
      </c>
      <c r="E403" s="24"/>
    </row>
    <row r="404" ht="14.25" customHeight="1">
      <c r="A404" s="25" t="s">
        <v>548</v>
      </c>
      <c r="B404" s="26">
        <v>20.0</v>
      </c>
      <c r="C404" s="28">
        <f>IFERROR(VLOOKUP(A404,'Market List'!$B:$F,5,FALSE),0)</f>
        <v>22.5</v>
      </c>
      <c r="D404" s="28">
        <f t="shared" si="35"/>
        <v>450</v>
      </c>
      <c r="E404" s="32"/>
    </row>
    <row r="405" ht="14.25" customHeight="1">
      <c r="A405" s="25" t="s">
        <v>543</v>
      </c>
      <c r="B405" s="26">
        <v>30.0</v>
      </c>
      <c r="C405" s="28">
        <f>IFERROR(VLOOKUP(A405,'Market List'!$B:$F,5,FALSE),0)</f>
        <v>18</v>
      </c>
      <c r="D405" s="28">
        <f t="shared" si="35"/>
        <v>540</v>
      </c>
      <c r="E405" s="32"/>
    </row>
    <row r="406" ht="14.25" customHeight="1">
      <c r="A406" s="25" t="s">
        <v>425</v>
      </c>
      <c r="B406" s="26">
        <v>5.0</v>
      </c>
      <c r="C406" s="28">
        <f>IFERROR(VLOOKUP(A406,'Market List'!$B:$F,5,FALSE),0)</f>
        <v>16</v>
      </c>
      <c r="D406" s="28">
        <f t="shared" si="35"/>
        <v>80</v>
      </c>
      <c r="E406" s="32"/>
    </row>
    <row r="407" ht="14.25" customHeight="1">
      <c r="A407" s="25" t="s">
        <v>466</v>
      </c>
      <c r="B407" s="26">
        <v>180.0</v>
      </c>
      <c r="C407" s="28">
        <f>IFERROR(VLOOKUP(A407,'Market List'!$B:$F,5,FALSE),0)</f>
        <v>38.42105263</v>
      </c>
      <c r="D407" s="28">
        <f t="shared" si="35"/>
        <v>6915.789474</v>
      </c>
      <c r="E407" s="32"/>
    </row>
    <row r="408" ht="14.25" customHeight="1">
      <c r="A408" s="36" t="s">
        <v>570</v>
      </c>
      <c r="B408" s="37">
        <v>20.0</v>
      </c>
      <c r="C408" s="38">
        <f>IFERROR(VLOOKUP(A408,'Market List'!$B:$F,5,FALSE),0)</f>
        <v>100</v>
      </c>
      <c r="D408" s="38">
        <f t="shared" si="35"/>
        <v>2000</v>
      </c>
      <c r="E408" s="41"/>
    </row>
    <row r="409" ht="14.25" customHeight="1">
      <c r="A409" s="156" t="s">
        <v>515</v>
      </c>
      <c r="B409" s="154"/>
      <c r="C409" s="154"/>
      <c r="D409" s="181">
        <f>SUM(D403:D408)</f>
        <v>13725.78947</v>
      </c>
      <c r="E409" s="155" t="s">
        <v>687</v>
      </c>
    </row>
    <row r="410" ht="14.25" customHeight="1"/>
    <row r="411" ht="14.25" customHeight="1">
      <c r="A411" s="147" t="s">
        <v>215</v>
      </c>
      <c r="B411" s="151">
        <f>IFERROR(D419/D411,0)</f>
        <v>37.76748971</v>
      </c>
      <c r="C411" s="152" t="s">
        <v>478</v>
      </c>
      <c r="D411" s="154">
        <f>SUM(B413:B418)*90%</f>
        <v>648</v>
      </c>
      <c r="E411" s="155" t="s">
        <v>582</v>
      </c>
    </row>
    <row r="412" ht="14.25" customHeight="1">
      <c r="A412" s="156" t="s">
        <v>420</v>
      </c>
      <c r="B412" s="154" t="s">
        <v>482</v>
      </c>
      <c r="C412" s="154" t="s">
        <v>483</v>
      </c>
      <c r="D412" s="154" t="s">
        <v>484</v>
      </c>
      <c r="E412" s="155" t="s">
        <v>17</v>
      </c>
    </row>
    <row r="413" ht="14.25" customHeight="1">
      <c r="A413" s="14" t="s">
        <v>446</v>
      </c>
      <c r="B413" s="15">
        <v>200.0</v>
      </c>
      <c r="C413" s="17">
        <f>IFERROR(VLOOKUP(A413,'Market List'!$B:$F,5,FALSE),0)</f>
        <v>75</v>
      </c>
      <c r="D413" s="17">
        <f t="shared" ref="D413:D418" si="36">IFERROR(B413*C413,0)</f>
        <v>15000</v>
      </c>
      <c r="E413" s="24" t="s">
        <v>688</v>
      </c>
    </row>
    <row r="414" ht="14.25" customHeight="1">
      <c r="A414" s="25" t="s">
        <v>427</v>
      </c>
      <c r="B414" s="26">
        <v>100.0</v>
      </c>
      <c r="C414" s="28">
        <f>IFERROR(VLOOKUP(A414,'Market List'!$B:$F,5,FALSE),0)</f>
        <v>48.83333333</v>
      </c>
      <c r="D414" s="28">
        <f t="shared" si="36"/>
        <v>4883.333333</v>
      </c>
      <c r="E414" s="32"/>
    </row>
    <row r="415" ht="14.25" customHeight="1">
      <c r="A415" s="25" t="s">
        <v>447</v>
      </c>
      <c r="B415" s="26">
        <v>220.0</v>
      </c>
      <c r="C415" s="28">
        <f>IFERROR(VLOOKUP(A415,'Market List'!$B:$F,5,FALSE),0)</f>
        <v>18</v>
      </c>
      <c r="D415" s="28">
        <f t="shared" si="36"/>
        <v>3960</v>
      </c>
      <c r="E415" s="32"/>
    </row>
    <row r="416" ht="14.25" customHeight="1">
      <c r="A416" s="25" t="s">
        <v>430</v>
      </c>
      <c r="B416" s="26">
        <v>200.0</v>
      </c>
      <c r="C416" s="28">
        <f>IFERROR(VLOOKUP(A416,'Market List'!$B:$F,5,FALSE),0)</f>
        <v>3.15</v>
      </c>
      <c r="D416" s="28">
        <f t="shared" si="36"/>
        <v>630</v>
      </c>
      <c r="E416" s="32"/>
    </row>
    <row r="417" ht="14.25" customHeight="1">
      <c r="A417" s="25"/>
      <c r="B417" s="26"/>
      <c r="C417" s="28"/>
      <c r="D417" s="28">
        <f t="shared" si="36"/>
        <v>0</v>
      </c>
      <c r="E417" s="32"/>
    </row>
    <row r="418" ht="14.25" customHeight="1">
      <c r="A418" s="36"/>
      <c r="B418" s="37"/>
      <c r="C418" s="38"/>
      <c r="D418" s="38">
        <f t="shared" si="36"/>
        <v>0</v>
      </c>
      <c r="E418" s="41"/>
    </row>
    <row r="419" ht="14.25" customHeight="1">
      <c r="A419" s="156" t="s">
        <v>515</v>
      </c>
      <c r="B419" s="154"/>
      <c r="C419" s="154"/>
      <c r="D419" s="181">
        <f>SUM(D413:D418)</f>
        <v>24473.33333</v>
      </c>
      <c r="E419" s="155" t="s">
        <v>518</v>
      </c>
    </row>
    <row r="420" ht="14.25" customHeight="1"/>
    <row r="421" ht="14.25" customHeight="1">
      <c r="A421" s="147" t="s">
        <v>211</v>
      </c>
      <c r="B421" s="151">
        <f>IFERROR(D429/D421,0)</f>
        <v>811.3636364</v>
      </c>
      <c r="C421" s="152" t="s">
        <v>478</v>
      </c>
      <c r="D421" s="154">
        <v>16.0</v>
      </c>
      <c r="E421" s="155" t="s">
        <v>478</v>
      </c>
    </row>
    <row r="422" ht="14.25" customHeight="1">
      <c r="A422" s="156" t="s">
        <v>420</v>
      </c>
      <c r="B422" s="154" t="s">
        <v>482</v>
      </c>
      <c r="C422" s="154" t="s">
        <v>483</v>
      </c>
      <c r="D422" s="154" t="s">
        <v>484</v>
      </c>
      <c r="E422" s="155" t="s">
        <v>17</v>
      </c>
    </row>
    <row r="423" ht="14.25" customHeight="1">
      <c r="A423" s="14" t="s">
        <v>506</v>
      </c>
      <c r="B423" s="15">
        <v>1000.0</v>
      </c>
      <c r="C423" s="17">
        <f>IFERROR(VLOOKUP(A423,'Market List'!$B:$F,5,FALSE),0)</f>
        <v>0</v>
      </c>
      <c r="D423" s="17">
        <f t="shared" ref="D423:D428" si="37">IFERROR(B423*C423,0)</f>
        <v>0</v>
      </c>
      <c r="E423" s="24" t="s">
        <v>689</v>
      </c>
    </row>
    <row r="424" ht="14.25" customHeight="1">
      <c r="A424" s="25" t="s">
        <v>627</v>
      </c>
      <c r="B424" s="26">
        <v>300.0</v>
      </c>
      <c r="C424" s="28">
        <f>'WIP FOOD'!$B$617</f>
        <v>43.27272727</v>
      </c>
      <c r="D424" s="28">
        <f t="shared" si="37"/>
        <v>12981.81818</v>
      </c>
      <c r="E424" s="32" t="s">
        <v>690</v>
      </c>
    </row>
    <row r="425" ht="14.25" customHeight="1">
      <c r="A425" s="25"/>
      <c r="B425" s="26"/>
      <c r="C425" s="28"/>
      <c r="D425" s="28">
        <f t="shared" si="37"/>
        <v>0</v>
      </c>
      <c r="E425" s="32"/>
    </row>
    <row r="426" ht="14.25" customHeight="1">
      <c r="A426" s="25"/>
      <c r="B426" s="26"/>
      <c r="C426" s="28"/>
      <c r="D426" s="28">
        <f t="shared" si="37"/>
        <v>0</v>
      </c>
      <c r="E426" s="32"/>
    </row>
    <row r="427" ht="14.25" customHeight="1">
      <c r="A427" s="25"/>
      <c r="B427" s="26"/>
      <c r="C427" s="28"/>
      <c r="D427" s="28">
        <f t="shared" si="37"/>
        <v>0</v>
      </c>
      <c r="E427" s="32"/>
    </row>
    <row r="428" ht="14.25" customHeight="1">
      <c r="A428" s="36"/>
      <c r="B428" s="37"/>
      <c r="C428" s="38"/>
      <c r="D428" s="38">
        <f t="shared" si="37"/>
        <v>0</v>
      </c>
      <c r="E428" s="41"/>
    </row>
    <row r="429" ht="14.25" customHeight="1">
      <c r="A429" s="156" t="s">
        <v>515</v>
      </c>
      <c r="B429" s="154"/>
      <c r="C429" s="154"/>
      <c r="D429" s="181">
        <f>SUM(D423:D428)</f>
        <v>12981.81818</v>
      </c>
      <c r="E429" s="155" t="s">
        <v>518</v>
      </c>
    </row>
    <row r="430" ht="14.25" customHeight="1"/>
    <row r="431" ht="14.25" customHeight="1">
      <c r="A431" s="147" t="s">
        <v>612</v>
      </c>
      <c r="B431" s="151">
        <f>IFERROR(D439/D431,0)</f>
        <v>47.30882762</v>
      </c>
      <c r="C431" s="152" t="s">
        <v>478</v>
      </c>
      <c r="D431" s="154">
        <f>SUM(B433:B438)*90%</f>
        <v>315</v>
      </c>
      <c r="E431" s="155" t="s">
        <v>582</v>
      </c>
    </row>
    <row r="432" ht="14.25" customHeight="1">
      <c r="A432" s="156" t="s">
        <v>420</v>
      </c>
      <c r="B432" s="154" t="s">
        <v>482</v>
      </c>
      <c r="C432" s="154" t="s">
        <v>483</v>
      </c>
      <c r="D432" s="154" t="s">
        <v>484</v>
      </c>
      <c r="E432" s="155" t="s">
        <v>17</v>
      </c>
    </row>
    <row r="433" ht="14.25" customHeight="1">
      <c r="A433" s="14" t="s">
        <v>197</v>
      </c>
      <c r="B433" s="15">
        <v>4.0</v>
      </c>
      <c r="C433" s="17">
        <f>IFERROR(VLOOKUP(A433,'Market List'!$B:$F,5,FALSE),0)</f>
        <v>2741.666667</v>
      </c>
      <c r="D433" s="17">
        <f t="shared" ref="D433:D438" si="38">IFERROR(B433*C433,0)</f>
        <v>10966.66667</v>
      </c>
      <c r="E433" s="24" t="s">
        <v>691</v>
      </c>
    </row>
    <row r="434" ht="14.25" customHeight="1">
      <c r="A434" s="25" t="s">
        <v>496</v>
      </c>
      <c r="B434" s="26">
        <v>250.0</v>
      </c>
      <c r="C434" s="28">
        <f>IFERROR(VLOOKUP(A434,'Market List'!$B:$F,5,FALSE),0)</f>
        <v>0</v>
      </c>
      <c r="D434" s="28">
        <f t="shared" si="38"/>
        <v>0</v>
      </c>
      <c r="E434" s="32"/>
    </row>
    <row r="435" ht="14.25" customHeight="1">
      <c r="A435" s="25" t="s">
        <v>246</v>
      </c>
      <c r="B435" s="26">
        <v>90.0</v>
      </c>
      <c r="C435" s="28">
        <f>'WIP FOOD'!$B$627</f>
        <v>34.23830409</v>
      </c>
      <c r="D435" s="28">
        <f t="shared" si="38"/>
        <v>3081.447368</v>
      </c>
      <c r="E435" s="32"/>
    </row>
    <row r="436" ht="14.25" customHeight="1">
      <c r="A436" s="25" t="s">
        <v>521</v>
      </c>
      <c r="B436" s="26">
        <v>1.0</v>
      </c>
      <c r="C436" s="28">
        <f>IFERROR(VLOOKUP(A436,'Market List'!$B:$F,5,FALSE),0)</f>
        <v>351.6666667</v>
      </c>
      <c r="D436" s="28">
        <f t="shared" si="38"/>
        <v>351.6666667</v>
      </c>
      <c r="E436" s="32"/>
    </row>
    <row r="437" ht="14.25" customHeight="1">
      <c r="A437" s="25" t="s">
        <v>433</v>
      </c>
      <c r="B437" s="26">
        <v>3.0</v>
      </c>
      <c r="C437" s="28">
        <f>IFERROR(VLOOKUP(A437,'Market List'!$B:$F,5,FALSE),0)</f>
        <v>155.5</v>
      </c>
      <c r="D437" s="28">
        <f t="shared" si="38"/>
        <v>466.5</v>
      </c>
      <c r="E437" s="32"/>
    </row>
    <row r="438" ht="14.25" customHeight="1">
      <c r="A438" s="36" t="s">
        <v>436</v>
      </c>
      <c r="B438" s="37">
        <v>2.0</v>
      </c>
      <c r="C438" s="38">
        <f>IFERROR(VLOOKUP(A438,'Market List'!$B:$F,5,FALSE),0)</f>
        <v>18</v>
      </c>
      <c r="D438" s="38">
        <f t="shared" si="38"/>
        <v>36</v>
      </c>
      <c r="E438" s="41"/>
    </row>
    <row r="439" ht="14.25" customHeight="1">
      <c r="A439" s="156" t="s">
        <v>515</v>
      </c>
      <c r="B439" s="154"/>
      <c r="C439" s="154"/>
      <c r="D439" s="181">
        <f>SUM(D433:D438)</f>
        <v>14902.2807</v>
      </c>
      <c r="E439" s="155" t="s">
        <v>518</v>
      </c>
    </row>
    <row r="440" ht="14.25" customHeight="1"/>
    <row r="441" ht="14.25" customHeight="1">
      <c r="A441" s="147" t="s">
        <v>613</v>
      </c>
      <c r="B441" s="151">
        <f>IFERROR(D450/D441,0)</f>
        <v>20.32863604</v>
      </c>
      <c r="C441" s="152" t="s">
        <v>478</v>
      </c>
      <c r="D441" s="154">
        <f>SUM(B443:B449)</f>
        <v>1387</v>
      </c>
      <c r="E441" s="155" t="s">
        <v>582</v>
      </c>
    </row>
    <row r="442" ht="14.25" customHeight="1">
      <c r="A442" s="156" t="s">
        <v>420</v>
      </c>
      <c r="B442" s="154" t="s">
        <v>482</v>
      </c>
      <c r="C442" s="154" t="s">
        <v>483</v>
      </c>
      <c r="D442" s="154" t="s">
        <v>484</v>
      </c>
      <c r="E442" s="155" t="s">
        <v>17</v>
      </c>
    </row>
    <row r="443" ht="14.25" customHeight="1">
      <c r="A443" s="14" t="s">
        <v>516</v>
      </c>
      <c r="B443" s="15">
        <v>1.0</v>
      </c>
      <c r="C443" s="17">
        <f>IFERROR(VLOOKUP(A443,'Market List'!$B:$F,5,FALSE),0)</f>
        <v>0</v>
      </c>
      <c r="D443" s="17">
        <f t="shared" ref="D443:D449" si="39">IFERROR(B443*C443,0)</f>
        <v>0</v>
      </c>
      <c r="E443" s="24" t="s">
        <v>692</v>
      </c>
    </row>
    <row r="444" ht="14.25" customHeight="1">
      <c r="A444" s="25" t="s">
        <v>496</v>
      </c>
      <c r="B444" s="26">
        <v>1300.0</v>
      </c>
      <c r="C444" s="28">
        <f>IFERROR(VLOOKUP(A444,'Market List'!$B:$F,5,FALSE),0)</f>
        <v>0</v>
      </c>
      <c r="D444" s="28">
        <f t="shared" si="39"/>
        <v>0</v>
      </c>
      <c r="E444" s="32" t="s">
        <v>693</v>
      </c>
    </row>
    <row r="445" ht="14.25" customHeight="1">
      <c r="A445" s="25" t="s">
        <v>433</v>
      </c>
      <c r="B445" s="26">
        <v>48.0</v>
      </c>
      <c r="C445" s="28">
        <f>IFERROR(VLOOKUP(A445,'Market List'!$B:$F,5,FALSE),0)</f>
        <v>155.5</v>
      </c>
      <c r="D445" s="28">
        <f t="shared" si="39"/>
        <v>7464</v>
      </c>
      <c r="E445" s="32"/>
    </row>
    <row r="446" ht="14.25" customHeight="1">
      <c r="A446" s="25" t="s">
        <v>367</v>
      </c>
      <c r="B446" s="26">
        <v>4.0</v>
      </c>
      <c r="C446" s="28">
        <f>IFERROR(VLOOKUP(A446,'Market List'!$B:$F,5,FALSE),0)</f>
        <v>200</v>
      </c>
      <c r="D446" s="28">
        <f t="shared" si="39"/>
        <v>800</v>
      </c>
      <c r="E446" s="32"/>
    </row>
    <row r="447" ht="14.25" customHeight="1">
      <c r="A447" s="25" t="s">
        <v>425</v>
      </c>
      <c r="B447" s="26">
        <v>4.0</v>
      </c>
      <c r="C447" s="28">
        <f>IFERROR(VLOOKUP(A447,'Market List'!$B:$F,5,FALSE),0)</f>
        <v>16</v>
      </c>
      <c r="D447" s="28">
        <f t="shared" si="39"/>
        <v>64</v>
      </c>
      <c r="E447" s="32"/>
    </row>
    <row r="448" ht="14.25" customHeight="1">
      <c r="A448" s="25" t="s">
        <v>398</v>
      </c>
      <c r="B448" s="26">
        <v>10.0</v>
      </c>
      <c r="C448" s="28">
        <f>IFERROR(VLOOKUP(A448,'Market List'!$B:$F,5,FALSE),0)</f>
        <v>43.18181818</v>
      </c>
      <c r="D448" s="28">
        <f t="shared" si="39"/>
        <v>431.8181818</v>
      </c>
      <c r="E448" s="32"/>
    </row>
    <row r="449" ht="14.25" customHeight="1">
      <c r="A449" s="36" t="s">
        <v>413</v>
      </c>
      <c r="B449" s="37">
        <v>20.0</v>
      </c>
      <c r="C449" s="38">
        <f>IFERROR(VLOOKUP(A449,'Market List'!$B:$F,5,FALSE),0)</f>
        <v>971.8</v>
      </c>
      <c r="D449" s="38">
        <f t="shared" si="39"/>
        <v>19436</v>
      </c>
      <c r="E449" s="41"/>
    </row>
    <row r="450" ht="14.25" customHeight="1">
      <c r="A450" s="156" t="s">
        <v>515</v>
      </c>
      <c r="B450" s="154"/>
      <c r="C450" s="154"/>
      <c r="D450" s="181">
        <f>SUM(D443:D449)</f>
        <v>28195.81818</v>
      </c>
      <c r="E450" s="155" t="s">
        <v>518</v>
      </c>
    </row>
    <row r="451" ht="14.25" customHeight="1"/>
    <row r="452" ht="14.25" customHeight="1">
      <c r="A452" s="147" t="s">
        <v>35</v>
      </c>
      <c r="B452" s="151">
        <f>IFERROR(D460/D452,0)</f>
        <v>74.82275545</v>
      </c>
      <c r="C452" s="152" t="s">
        <v>478</v>
      </c>
      <c r="D452" s="154">
        <f>SUM(B454:B459)</f>
        <v>1540</v>
      </c>
      <c r="E452" s="155" t="s">
        <v>582</v>
      </c>
    </row>
    <row r="453" ht="14.25" customHeight="1">
      <c r="A453" s="156" t="s">
        <v>420</v>
      </c>
      <c r="B453" s="154" t="s">
        <v>482</v>
      </c>
      <c r="C453" s="154" t="s">
        <v>483</v>
      </c>
      <c r="D453" s="154" t="s">
        <v>484</v>
      </c>
      <c r="E453" s="155" t="s">
        <v>17</v>
      </c>
    </row>
    <row r="454" ht="14.25" customHeight="1">
      <c r="A454" s="14" t="s">
        <v>527</v>
      </c>
      <c r="B454" s="15">
        <v>800.0</v>
      </c>
      <c r="C454" s="17">
        <f>IFERROR(VLOOKUP(A454,'Market List'!$B:$F,5,FALSE),0)</f>
        <v>95.9447</v>
      </c>
      <c r="D454" s="17">
        <f t="shared" ref="D454:D459" si="40">IFERROR(B454*C454,0)</f>
        <v>76755.76</v>
      </c>
      <c r="E454" s="24" t="s">
        <v>694</v>
      </c>
    </row>
    <row r="455" ht="14.25" customHeight="1">
      <c r="A455" s="25" t="s">
        <v>450</v>
      </c>
      <c r="B455" s="26">
        <v>500.0</v>
      </c>
      <c r="C455" s="28">
        <f>IFERROR(VLOOKUP(A455,'Market List'!$B:$F,5,FALSE),0)</f>
        <v>17.9</v>
      </c>
      <c r="D455" s="28">
        <f t="shared" si="40"/>
        <v>8950</v>
      </c>
      <c r="E455" s="32"/>
    </row>
    <row r="456" ht="14.25" customHeight="1">
      <c r="A456" s="25" t="s">
        <v>499</v>
      </c>
      <c r="B456" s="26">
        <v>100.0</v>
      </c>
      <c r="C456" s="28">
        <f>IFERROR(VLOOKUP(A456,'Market List'!$B:$F,5,FALSE),0)</f>
        <v>64.93506494</v>
      </c>
      <c r="D456" s="28">
        <f t="shared" si="40"/>
        <v>6493.506494</v>
      </c>
      <c r="E456" s="32"/>
    </row>
    <row r="457" ht="14.25" customHeight="1">
      <c r="A457" s="25" t="s">
        <v>528</v>
      </c>
      <c r="B457" s="26">
        <v>30.0</v>
      </c>
      <c r="C457" s="28">
        <f>IFERROR(VLOOKUP(A457,'Market List'!$B:$F,5,FALSE),0)</f>
        <v>84.95</v>
      </c>
      <c r="D457" s="28">
        <f t="shared" si="40"/>
        <v>2548.5</v>
      </c>
      <c r="E457" s="32"/>
    </row>
    <row r="458" ht="14.25" customHeight="1">
      <c r="A458" s="25" t="s">
        <v>465</v>
      </c>
      <c r="B458" s="26">
        <v>30.0</v>
      </c>
      <c r="C458" s="28">
        <f>IFERROR(VLOOKUP(A458,'Market List'!$B:$F,5,FALSE),0)</f>
        <v>75</v>
      </c>
      <c r="D458" s="28">
        <f t="shared" si="40"/>
        <v>2250</v>
      </c>
      <c r="E458" s="32"/>
    </row>
    <row r="459" ht="14.25" customHeight="1">
      <c r="A459" s="36" t="s">
        <v>529</v>
      </c>
      <c r="B459" s="37">
        <v>80.0</v>
      </c>
      <c r="C459" s="38">
        <f>IFERROR(VLOOKUP(A459,'Market List'!$B:$F,5,FALSE),0)</f>
        <v>227.8659612</v>
      </c>
      <c r="D459" s="38">
        <f t="shared" si="40"/>
        <v>18229.2769</v>
      </c>
      <c r="E459" s="41"/>
    </row>
    <row r="460" ht="14.25" customHeight="1">
      <c r="A460" s="156" t="s">
        <v>515</v>
      </c>
      <c r="B460" s="154"/>
      <c r="C460" s="154"/>
      <c r="D460" s="181">
        <f>SUM(D454:D459)</f>
        <v>115227.0434</v>
      </c>
      <c r="E460" s="155" t="s">
        <v>518</v>
      </c>
    </row>
    <row r="461" ht="14.25" customHeight="1"/>
    <row r="462" ht="14.25" customHeight="1">
      <c r="A462" s="147" t="s">
        <v>615</v>
      </c>
      <c r="B462" s="151">
        <f>IFERROR(D470/D462,0)</f>
        <v>41.60358023</v>
      </c>
      <c r="C462" s="152" t="s">
        <v>478</v>
      </c>
      <c r="D462" s="154">
        <f>SUM(B464:B469)</f>
        <v>491</v>
      </c>
      <c r="E462" s="155" t="s">
        <v>24</v>
      </c>
    </row>
    <row r="463" ht="14.25" customHeight="1">
      <c r="A463" s="156" t="s">
        <v>420</v>
      </c>
      <c r="B463" s="154" t="s">
        <v>482</v>
      </c>
      <c r="C463" s="154" t="s">
        <v>483</v>
      </c>
      <c r="D463" s="154" t="s">
        <v>484</v>
      </c>
      <c r="E463" s="155" t="s">
        <v>17</v>
      </c>
    </row>
    <row r="464" ht="14.25" customHeight="1">
      <c r="A464" s="14" t="s">
        <v>553</v>
      </c>
      <c r="B464" s="15">
        <v>100.0</v>
      </c>
      <c r="C464" s="17">
        <f>IFERROR(VLOOKUP(A464,'Market List'!$B:$F,5,FALSE),0)</f>
        <v>105</v>
      </c>
      <c r="D464" s="17">
        <f t="shared" ref="D464:D469" si="41">IFERROR(B464*C464,0)</f>
        <v>10500</v>
      </c>
      <c r="E464" s="24"/>
    </row>
    <row r="465" ht="14.25" customHeight="1">
      <c r="A465" s="25" t="s">
        <v>554</v>
      </c>
      <c r="B465" s="26">
        <v>188.0</v>
      </c>
      <c r="C465" s="28">
        <f>IFERROR(VLOOKUP(A465,'Market List'!$B:$F,5,FALSE),0)</f>
        <v>3.15</v>
      </c>
      <c r="D465" s="28">
        <f t="shared" si="41"/>
        <v>592.2</v>
      </c>
      <c r="E465" s="32"/>
    </row>
    <row r="466" ht="14.25" customHeight="1">
      <c r="A466" s="25" t="s">
        <v>466</v>
      </c>
      <c r="B466" s="26">
        <v>188.0</v>
      </c>
      <c r="C466" s="28">
        <f>IFERROR(VLOOKUP(A466,'Market List'!$B:$F,5,FALSE),0)</f>
        <v>38.42105263</v>
      </c>
      <c r="D466" s="28">
        <f t="shared" si="41"/>
        <v>7223.157895</v>
      </c>
      <c r="E466" s="32"/>
    </row>
    <row r="467" ht="14.25" customHeight="1">
      <c r="A467" s="25" t="s">
        <v>556</v>
      </c>
      <c r="B467" s="26">
        <v>13.0</v>
      </c>
      <c r="C467" s="28">
        <f>IFERROR(VLOOKUP(A467,'Market List'!$B:$F,5,FALSE),0)</f>
        <v>24</v>
      </c>
      <c r="D467" s="28">
        <f t="shared" si="41"/>
        <v>312</v>
      </c>
      <c r="E467" s="32"/>
    </row>
    <row r="468" ht="14.25" customHeight="1">
      <c r="A468" s="25" t="s">
        <v>551</v>
      </c>
      <c r="B468" s="26">
        <v>2.0</v>
      </c>
      <c r="C468" s="28">
        <f>IFERROR(VLOOKUP(A468,'Market List'!$B:$F,5,FALSE),0)</f>
        <v>900</v>
      </c>
      <c r="D468" s="28">
        <f t="shared" si="41"/>
        <v>1800</v>
      </c>
      <c r="E468" s="32"/>
    </row>
    <row r="469" ht="14.25" customHeight="1">
      <c r="A469" s="36"/>
      <c r="B469" s="37"/>
      <c r="C469" s="38"/>
      <c r="D469" s="38">
        <f t="shared" si="41"/>
        <v>0</v>
      </c>
      <c r="E469" s="41"/>
    </row>
    <row r="470" ht="14.25" customHeight="1">
      <c r="A470" s="156" t="s">
        <v>515</v>
      </c>
      <c r="B470" s="154"/>
      <c r="C470" s="154"/>
      <c r="D470" s="181">
        <f>SUM(D464:D469)</f>
        <v>20427.35789</v>
      </c>
      <c r="E470" s="155" t="s">
        <v>695</v>
      </c>
    </row>
    <row r="471" ht="14.25" customHeight="1"/>
    <row r="472" ht="14.25" customHeight="1">
      <c r="A472" s="147" t="s">
        <v>305</v>
      </c>
      <c r="B472" s="151">
        <f>IFERROR(D483/D472,0)</f>
        <v>1099.355263</v>
      </c>
      <c r="C472" s="152" t="s">
        <v>478</v>
      </c>
      <c r="D472" s="154">
        <v>19.0</v>
      </c>
      <c r="E472" s="155" t="s">
        <v>22</v>
      </c>
    </row>
    <row r="473" ht="14.25" customHeight="1">
      <c r="A473" s="156" t="s">
        <v>420</v>
      </c>
      <c r="B473" s="154" t="s">
        <v>482</v>
      </c>
      <c r="C473" s="154" t="s">
        <v>483</v>
      </c>
      <c r="D473" s="154" t="s">
        <v>484</v>
      </c>
      <c r="E473" s="155" t="s">
        <v>17</v>
      </c>
    </row>
    <row r="474" ht="14.25" customHeight="1">
      <c r="A474" s="14" t="s">
        <v>560</v>
      </c>
      <c r="B474" s="15">
        <v>400.0</v>
      </c>
      <c r="C474" s="17">
        <f>IFERROR(VLOOKUP(A474,'Market List'!$B:$F,5,FALSE),0)</f>
        <v>13.5</v>
      </c>
      <c r="D474" s="17">
        <f t="shared" ref="D474:D482" si="42">IFERROR(B474*C474,0)</f>
        <v>5400</v>
      </c>
      <c r="E474" s="24"/>
    </row>
    <row r="475" ht="14.25" customHeight="1">
      <c r="A475" s="25" t="s">
        <v>564</v>
      </c>
      <c r="B475" s="26">
        <v>120.0</v>
      </c>
      <c r="C475" s="28">
        <f>IFERROR(VLOOKUP(A475,'Market List'!$B:$F,5,FALSE),0)</f>
        <v>13</v>
      </c>
      <c r="D475" s="28">
        <f t="shared" si="42"/>
        <v>1560</v>
      </c>
      <c r="E475" s="32"/>
    </row>
    <row r="476" ht="14.25" customHeight="1">
      <c r="A476" s="25" t="s">
        <v>543</v>
      </c>
      <c r="B476" s="26">
        <v>26.0</v>
      </c>
      <c r="C476" s="28">
        <f>IFERROR(VLOOKUP(A476,'Market List'!$B:$F,5,FALSE),0)</f>
        <v>18</v>
      </c>
      <c r="D476" s="28">
        <f t="shared" si="42"/>
        <v>468</v>
      </c>
      <c r="E476" s="32"/>
    </row>
    <row r="477" ht="14.25" customHeight="1">
      <c r="A477" s="25" t="s">
        <v>425</v>
      </c>
      <c r="B477" s="26">
        <v>10.0</v>
      </c>
      <c r="C477" s="28">
        <f>IFERROR(VLOOKUP(A477,'Market List'!$B:$F,5,FALSE),0)</f>
        <v>16</v>
      </c>
      <c r="D477" s="28">
        <f t="shared" si="42"/>
        <v>160</v>
      </c>
      <c r="E477" s="32"/>
    </row>
    <row r="478" ht="14.25" customHeight="1">
      <c r="A478" s="25" t="s">
        <v>563</v>
      </c>
      <c r="B478" s="26">
        <v>7.0</v>
      </c>
      <c r="C478" s="28">
        <f>IFERROR(VLOOKUP(A478,'Market List'!$B:$F,5,FALSE),0)</f>
        <v>100</v>
      </c>
      <c r="D478" s="28">
        <f t="shared" si="42"/>
        <v>700</v>
      </c>
      <c r="E478" s="32"/>
    </row>
    <row r="479" ht="14.25" customHeight="1">
      <c r="A479" s="25" t="s">
        <v>566</v>
      </c>
      <c r="B479" s="26">
        <v>30.0</v>
      </c>
      <c r="C479" s="28">
        <f>IFERROR(VLOOKUP(A479,'Market List'!$B:$F,5,FALSE),0)</f>
        <v>137.5</v>
      </c>
      <c r="D479" s="28">
        <f t="shared" si="42"/>
        <v>4125</v>
      </c>
      <c r="E479" s="32"/>
    </row>
    <row r="480" ht="14.25" customHeight="1">
      <c r="A480" s="25" t="s">
        <v>550</v>
      </c>
      <c r="B480" s="26">
        <v>40.0</v>
      </c>
      <c r="C480" s="28">
        <f>IFERROR(VLOOKUP(A480,'Market List'!$B:$F,5,FALSE),0)</f>
        <v>140</v>
      </c>
      <c r="D480" s="28">
        <f t="shared" si="42"/>
        <v>5600</v>
      </c>
      <c r="E480" s="32"/>
    </row>
    <row r="481" ht="14.25" customHeight="1">
      <c r="A481" s="25" t="s">
        <v>554</v>
      </c>
      <c r="B481" s="26">
        <v>365.0</v>
      </c>
      <c r="C481" s="28">
        <f>IFERROR(VLOOKUP(A481,'Market List'!$B:$F,5,FALSE),0)</f>
        <v>3.15</v>
      </c>
      <c r="D481" s="28">
        <f t="shared" si="42"/>
        <v>1149.75</v>
      </c>
      <c r="E481" s="32"/>
    </row>
    <row r="482" ht="14.25" customHeight="1">
      <c r="A482" s="36" t="s">
        <v>307</v>
      </c>
      <c r="B482" s="37">
        <v>15.0</v>
      </c>
      <c r="C482" s="38">
        <f>IFERROR(VLOOKUP(A482,'Market List'!$B:$F,5,FALSE),0)</f>
        <v>115</v>
      </c>
      <c r="D482" s="38">
        <f t="shared" si="42"/>
        <v>1725</v>
      </c>
      <c r="E482" s="41"/>
    </row>
    <row r="483" ht="14.25" customHeight="1">
      <c r="A483" s="156" t="s">
        <v>515</v>
      </c>
      <c r="B483" s="154"/>
      <c r="C483" s="154"/>
      <c r="D483" s="181">
        <f>SUM(D474:D482)</f>
        <v>20887.75</v>
      </c>
      <c r="E483" s="155" t="s">
        <v>696</v>
      </c>
    </row>
    <row r="484" ht="14.25" customHeight="1"/>
    <row r="485" ht="14.25" customHeight="1">
      <c r="A485" s="147" t="s">
        <v>616</v>
      </c>
      <c r="B485" s="151">
        <f>IFERROR(D496/D485,0)</f>
        <v>53.41776427</v>
      </c>
      <c r="C485" s="152" t="s">
        <v>478</v>
      </c>
      <c r="D485" s="154">
        <f>SUM(B487:B495)*90%</f>
        <v>296.1</v>
      </c>
      <c r="E485" s="155" t="s">
        <v>582</v>
      </c>
    </row>
    <row r="486" ht="14.25" customHeight="1">
      <c r="A486" s="156" t="s">
        <v>420</v>
      </c>
      <c r="B486" s="154" t="s">
        <v>482</v>
      </c>
      <c r="C486" s="154" t="s">
        <v>483</v>
      </c>
      <c r="D486" s="154" t="s">
        <v>484</v>
      </c>
      <c r="E486" s="155" t="s">
        <v>17</v>
      </c>
    </row>
    <row r="487" ht="14.25" customHeight="1">
      <c r="A487" s="14" t="s">
        <v>101</v>
      </c>
      <c r="B487" s="15">
        <v>98.0</v>
      </c>
      <c r="C487" s="17">
        <f>IFERROR(VLOOKUP(A487,'Market List'!$B:$F,5,FALSE),0)</f>
        <v>65</v>
      </c>
      <c r="D487" s="17">
        <f t="shared" ref="D487:D495" si="43">IFERROR(B487*C487,0)</f>
        <v>6370</v>
      </c>
      <c r="E487" s="24" t="s">
        <v>697</v>
      </c>
    </row>
    <row r="488" ht="14.25" customHeight="1">
      <c r="A488" s="25" t="s">
        <v>508</v>
      </c>
      <c r="B488" s="26">
        <v>92.0</v>
      </c>
      <c r="C488" s="28">
        <f>IFERROR(VLOOKUP(A488,'Market List'!$B:$F,5,FALSE),0)</f>
        <v>38</v>
      </c>
      <c r="D488" s="28">
        <f t="shared" si="43"/>
        <v>3496</v>
      </c>
      <c r="E488" s="32" t="s">
        <v>698</v>
      </c>
    </row>
    <row r="489" ht="14.25" customHeight="1">
      <c r="A489" s="25" t="s">
        <v>437</v>
      </c>
      <c r="B489" s="26">
        <v>8.0</v>
      </c>
      <c r="C489" s="28">
        <f>IFERROR(VLOOKUP(A489,'Market List'!$B:$F,5,FALSE),0)</f>
        <v>45</v>
      </c>
      <c r="D489" s="28">
        <f t="shared" si="43"/>
        <v>360</v>
      </c>
      <c r="E489" s="32" t="s">
        <v>699</v>
      </c>
    </row>
    <row r="490" ht="14.25" customHeight="1">
      <c r="A490" s="25" t="s">
        <v>489</v>
      </c>
      <c r="B490" s="26">
        <v>4.0</v>
      </c>
      <c r="C490" s="28">
        <f>IFERROR(VLOOKUP(A490,'Market List'!$B:$F,5,FALSE),0)</f>
        <v>55</v>
      </c>
      <c r="D490" s="28">
        <f t="shared" si="43"/>
        <v>220</v>
      </c>
      <c r="E490" s="32" t="s">
        <v>700</v>
      </c>
    </row>
    <row r="491" ht="14.25" customHeight="1">
      <c r="A491" s="25" t="s">
        <v>509</v>
      </c>
      <c r="B491" s="26">
        <v>92.0</v>
      </c>
      <c r="C491" s="28">
        <f>IFERROR(VLOOKUP(A491,'Market List'!$B:$F,5,FALSE),0)</f>
        <v>20</v>
      </c>
      <c r="D491" s="28">
        <f t="shared" si="43"/>
        <v>1840</v>
      </c>
      <c r="E491" s="32"/>
    </row>
    <row r="492" ht="14.25" customHeight="1">
      <c r="A492" s="25" t="s">
        <v>510</v>
      </c>
      <c r="B492" s="26">
        <v>9.0</v>
      </c>
      <c r="C492" s="28">
        <f>IFERROR(VLOOKUP(A492,'Market List'!$B:$F,5,FALSE),0)</f>
        <v>35</v>
      </c>
      <c r="D492" s="28">
        <f t="shared" si="43"/>
        <v>315</v>
      </c>
      <c r="E492" s="32"/>
    </row>
    <row r="493" ht="14.25" customHeight="1">
      <c r="A493" s="25" t="s">
        <v>433</v>
      </c>
      <c r="B493" s="26">
        <v>20.0</v>
      </c>
      <c r="C493" s="28">
        <f>IFERROR(VLOOKUP(A493,'Market List'!$B:$F,5,FALSE),0)</f>
        <v>155.5</v>
      </c>
      <c r="D493" s="28">
        <f t="shared" si="43"/>
        <v>3110</v>
      </c>
      <c r="E493" s="32"/>
    </row>
    <row r="494" ht="14.25" customHeight="1">
      <c r="A494" s="25" t="s">
        <v>436</v>
      </c>
      <c r="B494" s="26">
        <v>5.0</v>
      </c>
      <c r="C494" s="28">
        <f>IFERROR(VLOOKUP(A494,'Market List'!$B:$F,5,FALSE),0)</f>
        <v>18</v>
      </c>
      <c r="D494" s="28">
        <f t="shared" si="43"/>
        <v>90</v>
      </c>
      <c r="E494" s="32"/>
    </row>
    <row r="495" ht="14.25" customHeight="1">
      <c r="A495" s="36" t="s">
        <v>425</v>
      </c>
      <c r="B495" s="37">
        <v>1.0</v>
      </c>
      <c r="C495" s="38">
        <f>IFERROR(VLOOKUP(A495,'Market List'!$B:$F,5,FALSE),0)</f>
        <v>16</v>
      </c>
      <c r="D495" s="38">
        <f t="shared" si="43"/>
        <v>16</v>
      </c>
      <c r="E495" s="41"/>
    </row>
    <row r="496" ht="14.25" customHeight="1">
      <c r="A496" s="156" t="s">
        <v>515</v>
      </c>
      <c r="B496" s="154"/>
      <c r="C496" s="154"/>
      <c r="D496" s="181">
        <f>SUM(D487:D495)</f>
        <v>15817</v>
      </c>
      <c r="E496" s="155" t="s">
        <v>518</v>
      </c>
    </row>
    <row r="497" ht="14.25" customHeight="1"/>
    <row r="498" ht="14.25" customHeight="1">
      <c r="A498" s="147" t="s">
        <v>416</v>
      </c>
      <c r="B498" s="151">
        <f>IFERROR(D506/D498,0)</f>
        <v>26.06510152</v>
      </c>
      <c r="C498" s="152" t="s">
        <v>478</v>
      </c>
      <c r="D498" s="154">
        <f>SUM(B500:B505)</f>
        <v>52</v>
      </c>
      <c r="E498" s="155" t="s">
        <v>582</v>
      </c>
    </row>
    <row r="499" ht="14.25" customHeight="1">
      <c r="A499" s="156" t="s">
        <v>420</v>
      </c>
      <c r="B499" s="154" t="s">
        <v>482</v>
      </c>
      <c r="C499" s="154" t="s">
        <v>483</v>
      </c>
      <c r="D499" s="154" t="s">
        <v>484</v>
      </c>
      <c r="E499" s="155" t="s">
        <v>17</v>
      </c>
    </row>
    <row r="500" ht="14.25" customHeight="1">
      <c r="A500" s="14" t="s">
        <v>494</v>
      </c>
      <c r="B500" s="15">
        <v>42.0</v>
      </c>
      <c r="C500" s="17">
        <f>IFERROR(VLOOKUP(A500,'Market List'!$B:$F,5,FALSE),0)</f>
        <v>13</v>
      </c>
      <c r="D500" s="17">
        <f t="shared" ref="D500:D505" si="44">IFERROR(B500*C500,0)</f>
        <v>546</v>
      </c>
      <c r="E500" s="24" t="s">
        <v>701</v>
      </c>
    </row>
    <row r="501" ht="14.25" customHeight="1">
      <c r="A501" s="25" t="s">
        <v>607</v>
      </c>
      <c r="B501" s="26">
        <v>10.0</v>
      </c>
      <c r="C501" s="28">
        <f>'WIP FOOD'!$B$270</f>
        <v>80.93852793</v>
      </c>
      <c r="D501" s="28">
        <f t="shared" si="44"/>
        <v>809.3852793</v>
      </c>
      <c r="E501" s="32" t="s">
        <v>702</v>
      </c>
    </row>
    <row r="502" ht="14.25" customHeight="1">
      <c r="A502" s="25"/>
      <c r="B502" s="26"/>
      <c r="C502" s="28"/>
      <c r="D502" s="28">
        <f t="shared" si="44"/>
        <v>0</v>
      </c>
      <c r="E502" s="32"/>
    </row>
    <row r="503" ht="14.25" customHeight="1">
      <c r="A503" s="25"/>
      <c r="B503" s="26"/>
      <c r="C503" s="28"/>
      <c r="D503" s="28">
        <f t="shared" si="44"/>
        <v>0</v>
      </c>
      <c r="E503" s="32"/>
    </row>
    <row r="504" ht="14.25" customHeight="1">
      <c r="A504" s="25"/>
      <c r="B504" s="26"/>
      <c r="C504" s="28"/>
      <c r="D504" s="28">
        <f t="shared" si="44"/>
        <v>0</v>
      </c>
      <c r="E504" s="32"/>
    </row>
    <row r="505" ht="14.25" customHeight="1">
      <c r="A505" s="36"/>
      <c r="B505" s="37"/>
      <c r="C505" s="38"/>
      <c r="D505" s="38">
        <f t="shared" si="44"/>
        <v>0</v>
      </c>
      <c r="E505" s="41"/>
    </row>
    <row r="506" ht="14.25" customHeight="1">
      <c r="A506" s="156" t="s">
        <v>515</v>
      </c>
      <c r="B506" s="154"/>
      <c r="C506" s="154"/>
      <c r="D506" s="181">
        <f>SUM(D500:D505)</f>
        <v>1355.385279</v>
      </c>
      <c r="E506" s="155" t="s">
        <v>518</v>
      </c>
    </row>
    <row r="507" ht="14.25" customHeight="1"/>
    <row r="508" ht="14.25" customHeight="1">
      <c r="A508" s="147" t="s">
        <v>386</v>
      </c>
      <c r="B508" s="151">
        <f>IFERROR(D519/D508,0)</f>
        <v>2004.902862</v>
      </c>
      <c r="C508" s="152" t="s">
        <v>478</v>
      </c>
      <c r="D508" s="154">
        <v>15.0</v>
      </c>
      <c r="E508" s="155" t="s">
        <v>478</v>
      </c>
    </row>
    <row r="509" ht="14.25" customHeight="1">
      <c r="A509" s="156" t="s">
        <v>420</v>
      </c>
      <c r="B509" s="154" t="s">
        <v>482</v>
      </c>
      <c r="C509" s="154" t="s">
        <v>483</v>
      </c>
      <c r="D509" s="154" t="s">
        <v>484</v>
      </c>
      <c r="E509" s="155" t="s">
        <v>17</v>
      </c>
    </row>
    <row r="510" ht="14.25" customHeight="1">
      <c r="A510" s="14" t="s">
        <v>466</v>
      </c>
      <c r="B510" s="15">
        <v>700.0</v>
      </c>
      <c r="C510" s="17">
        <f>IFERROR(VLOOKUP(A510,'Market List'!$B:$F,5,FALSE),0)</f>
        <v>38.42105263</v>
      </c>
      <c r="D510" s="17">
        <f t="shared" ref="D510:D518" si="45">IFERROR(B510*C510,0)</f>
        <v>26894.73684</v>
      </c>
      <c r="E510" s="24" t="s">
        <v>703</v>
      </c>
    </row>
    <row r="511" ht="14.25" customHeight="1">
      <c r="A511" s="25" t="s">
        <v>425</v>
      </c>
      <c r="B511" s="26">
        <v>8.0</v>
      </c>
      <c r="C511" s="28">
        <f>IFERROR(VLOOKUP(A511,'Market List'!$B:$F,5,FALSE),0)</f>
        <v>16</v>
      </c>
      <c r="D511" s="28">
        <f t="shared" si="45"/>
        <v>128</v>
      </c>
      <c r="E511" s="32" t="s">
        <v>704</v>
      </c>
    </row>
    <row r="512" ht="14.25" customHeight="1">
      <c r="A512" s="25" t="s">
        <v>398</v>
      </c>
      <c r="B512" s="26">
        <v>5.0</v>
      </c>
      <c r="C512" s="28">
        <f>IFERROR(VLOOKUP(A512,'Market List'!$B:$F,5,FALSE),0)</f>
        <v>43.18181818</v>
      </c>
      <c r="D512" s="28">
        <f t="shared" si="45"/>
        <v>215.9090909</v>
      </c>
      <c r="E512" s="32" t="s">
        <v>705</v>
      </c>
    </row>
    <row r="513" ht="14.25" customHeight="1">
      <c r="A513" s="25" t="s">
        <v>433</v>
      </c>
      <c r="B513" s="26">
        <v>5.0</v>
      </c>
      <c r="C513" s="28">
        <f>IFERROR(VLOOKUP(A513,'Market List'!$B:$F,5,FALSE),0)</f>
        <v>155.5</v>
      </c>
      <c r="D513" s="28">
        <f t="shared" si="45"/>
        <v>777.5</v>
      </c>
      <c r="E513" s="32"/>
    </row>
    <row r="514" ht="14.25" customHeight="1">
      <c r="A514" s="25" t="s">
        <v>437</v>
      </c>
      <c r="B514" s="26">
        <v>10.0</v>
      </c>
      <c r="C514" s="28">
        <f>IFERROR(VLOOKUP(A514,'Market List'!$B:$F,5,FALSE),0)</f>
        <v>45</v>
      </c>
      <c r="D514" s="28">
        <f t="shared" si="45"/>
        <v>450</v>
      </c>
      <c r="E514" s="32" t="s">
        <v>500</v>
      </c>
    </row>
    <row r="515" ht="14.25" customHeight="1">
      <c r="A515" s="25" t="s">
        <v>523</v>
      </c>
      <c r="B515" s="26">
        <v>3.0</v>
      </c>
      <c r="C515" s="28">
        <f>IFERROR(VLOOKUP(A515,'Market List'!$B:$F,5,FALSE),0)</f>
        <v>82.466</v>
      </c>
      <c r="D515" s="28">
        <f t="shared" si="45"/>
        <v>247.398</v>
      </c>
      <c r="E515" s="32"/>
    </row>
    <row r="516" ht="14.25" customHeight="1">
      <c r="A516" s="25" t="s">
        <v>367</v>
      </c>
      <c r="B516" s="26">
        <v>1.0</v>
      </c>
      <c r="C516" s="28">
        <f>IFERROR(VLOOKUP(A516,'Market List'!$B:$F,5,FALSE),0)</f>
        <v>200</v>
      </c>
      <c r="D516" s="28">
        <f t="shared" si="45"/>
        <v>200</v>
      </c>
      <c r="E516" s="32"/>
    </row>
    <row r="517" ht="14.25" customHeight="1">
      <c r="A517" s="25" t="s">
        <v>374</v>
      </c>
      <c r="B517" s="26">
        <v>8.0</v>
      </c>
      <c r="C517" s="28">
        <f>IFERROR(VLOOKUP(A517,'Market List'!$B:$F,5,FALSE),0)</f>
        <v>140</v>
      </c>
      <c r="D517" s="28">
        <f t="shared" si="45"/>
        <v>1120</v>
      </c>
      <c r="E517" s="32"/>
    </row>
    <row r="518" ht="14.25" customHeight="1">
      <c r="A518" s="36" t="s">
        <v>530</v>
      </c>
      <c r="B518" s="37">
        <v>1.0</v>
      </c>
      <c r="C518" s="38">
        <f>IFERROR(VLOOKUP(A518,'Market List'!$B:$F,5,FALSE),0)</f>
        <v>39.999</v>
      </c>
      <c r="D518" s="38">
        <f t="shared" si="45"/>
        <v>39.999</v>
      </c>
      <c r="E518" s="41"/>
    </row>
    <row r="519" ht="14.25" customHeight="1">
      <c r="A519" s="156" t="s">
        <v>515</v>
      </c>
      <c r="B519" s="154"/>
      <c r="C519" s="154"/>
      <c r="D519" s="181">
        <f>SUM(D510:D518)</f>
        <v>30073.54293</v>
      </c>
      <c r="E519" s="155" t="s">
        <v>518</v>
      </c>
    </row>
    <row r="520" ht="14.25" customHeight="1"/>
    <row r="521" ht="14.25" customHeight="1">
      <c r="A521" s="147" t="s">
        <v>620</v>
      </c>
      <c r="B521" s="151">
        <f>IFERROR(D529/D521,0)</f>
        <v>39.41666667</v>
      </c>
      <c r="C521" s="152" t="s">
        <v>478</v>
      </c>
      <c r="D521" s="154">
        <f>SUM(B523:B528)</f>
        <v>240</v>
      </c>
      <c r="E521" s="155" t="s">
        <v>582</v>
      </c>
    </row>
    <row r="522" ht="14.25" customHeight="1">
      <c r="A522" s="156" t="s">
        <v>420</v>
      </c>
      <c r="B522" s="154" t="s">
        <v>482</v>
      </c>
      <c r="C522" s="154" t="s">
        <v>483</v>
      </c>
      <c r="D522" s="154" t="s">
        <v>484</v>
      </c>
      <c r="E522" s="155" t="s">
        <v>17</v>
      </c>
    </row>
    <row r="523" ht="14.25" customHeight="1">
      <c r="A523" s="14" t="s">
        <v>446</v>
      </c>
      <c r="B523" s="15">
        <v>100.0</v>
      </c>
      <c r="C523" s="17">
        <f>IFERROR(VLOOKUP(A523,'Market List'!$B:$F,5,FALSE),0)</f>
        <v>75</v>
      </c>
      <c r="D523" s="17">
        <f t="shared" ref="D523:D528" si="46">IFERROR(B523*C523,0)</f>
        <v>7500</v>
      </c>
      <c r="E523" s="24" t="s">
        <v>688</v>
      </c>
    </row>
    <row r="524" ht="14.25" customHeight="1">
      <c r="A524" s="25" t="s">
        <v>427</v>
      </c>
      <c r="B524" s="26">
        <v>30.0</v>
      </c>
      <c r="C524" s="28">
        <f>IFERROR(VLOOKUP(A524,'Market List'!$B:$F,5,FALSE),0)</f>
        <v>48.83333333</v>
      </c>
      <c r="D524" s="28">
        <f t="shared" si="46"/>
        <v>1465</v>
      </c>
      <c r="E524" s="32" t="s">
        <v>706</v>
      </c>
    </row>
    <row r="525" ht="14.25" customHeight="1">
      <c r="A525" s="25" t="s">
        <v>447</v>
      </c>
      <c r="B525" s="26">
        <v>10.0</v>
      </c>
      <c r="C525" s="28">
        <f>IFERROR(VLOOKUP(A525,'Market List'!$B:$F,5,FALSE),0)</f>
        <v>18</v>
      </c>
      <c r="D525" s="28">
        <f t="shared" si="46"/>
        <v>180</v>
      </c>
      <c r="E525" s="32"/>
    </row>
    <row r="526" ht="14.25" customHeight="1">
      <c r="A526" s="25" t="s">
        <v>430</v>
      </c>
      <c r="B526" s="26">
        <v>100.0</v>
      </c>
      <c r="C526" s="28">
        <f>IFERROR(VLOOKUP(A526,'Market List'!$B:$F,5,FALSE),0)</f>
        <v>3.15</v>
      </c>
      <c r="D526" s="28">
        <f t="shared" si="46"/>
        <v>315</v>
      </c>
      <c r="E526" s="32"/>
    </row>
    <row r="527" ht="14.25" customHeight="1">
      <c r="A527" s="25"/>
      <c r="B527" s="26"/>
      <c r="C527" s="28"/>
      <c r="D527" s="28">
        <f t="shared" si="46"/>
        <v>0</v>
      </c>
      <c r="E527" s="32"/>
    </row>
    <row r="528" ht="14.25" customHeight="1">
      <c r="A528" s="36"/>
      <c r="B528" s="37"/>
      <c r="C528" s="38"/>
      <c r="D528" s="38">
        <f t="shared" si="46"/>
        <v>0</v>
      </c>
      <c r="E528" s="41"/>
    </row>
    <row r="529" ht="14.25" customHeight="1">
      <c r="A529" s="156" t="s">
        <v>515</v>
      </c>
      <c r="B529" s="154"/>
      <c r="C529" s="154"/>
      <c r="D529" s="181">
        <f>SUM(D523:D528)</f>
        <v>9460</v>
      </c>
      <c r="E529" s="155" t="s">
        <v>518</v>
      </c>
    </row>
    <row r="530" ht="14.25" customHeight="1"/>
    <row r="531" ht="14.25" customHeight="1">
      <c r="A531" s="147" t="s">
        <v>218</v>
      </c>
      <c r="B531" s="151">
        <f>IFERROR(D541/D531,0)</f>
        <v>2380.048166</v>
      </c>
      <c r="C531" s="152" t="s">
        <v>478</v>
      </c>
      <c r="D531" s="154">
        <v>11.0</v>
      </c>
      <c r="E531" s="155" t="s">
        <v>22</v>
      </c>
    </row>
    <row r="532" ht="14.25" customHeight="1">
      <c r="A532" s="156" t="s">
        <v>420</v>
      </c>
      <c r="B532" s="154" t="s">
        <v>482</v>
      </c>
      <c r="C532" s="154" t="s">
        <v>483</v>
      </c>
      <c r="D532" s="154" t="s">
        <v>484</v>
      </c>
      <c r="E532" s="155" t="s">
        <v>17</v>
      </c>
    </row>
    <row r="533" ht="14.25" customHeight="1">
      <c r="A533" s="14" t="s">
        <v>542</v>
      </c>
      <c r="B533" s="15">
        <v>90.0</v>
      </c>
      <c r="C533" s="17">
        <f>IFERROR(VLOOKUP(A533,'Market List'!$B:$F,5,FALSE),0)</f>
        <v>130</v>
      </c>
      <c r="D533" s="17">
        <f t="shared" ref="D533:D540" si="47">IFERROR(B533*C533,0)</f>
        <v>11700</v>
      </c>
      <c r="E533" s="24"/>
    </row>
    <row r="534" ht="14.25" customHeight="1">
      <c r="A534" s="25" t="s">
        <v>466</v>
      </c>
      <c r="B534" s="26">
        <v>60.0</v>
      </c>
      <c r="C534" s="28">
        <f>IFERROR(VLOOKUP(A534,'Market List'!$B:$F,5,FALSE),0)</f>
        <v>38.42105263</v>
      </c>
      <c r="D534" s="28">
        <f t="shared" si="47"/>
        <v>2305.263158</v>
      </c>
      <c r="E534" s="32"/>
    </row>
    <row r="535" ht="14.25" customHeight="1">
      <c r="A535" s="25" t="s">
        <v>564</v>
      </c>
      <c r="B535" s="26">
        <v>99.0</v>
      </c>
      <c r="C535" s="28">
        <f>IFERROR(VLOOKUP(A535,'Market List'!$B:$F,5,FALSE),0)</f>
        <v>13</v>
      </c>
      <c r="D535" s="28">
        <f t="shared" si="47"/>
        <v>1287</v>
      </c>
      <c r="E535" s="32"/>
    </row>
    <row r="536" ht="14.25" customHeight="1">
      <c r="A536" s="25" t="s">
        <v>425</v>
      </c>
      <c r="B536" s="26">
        <v>1.0</v>
      </c>
      <c r="C536" s="28">
        <f>IFERROR(VLOOKUP(A536,'Market List'!$B:$F,5,FALSE),0)</f>
        <v>16</v>
      </c>
      <c r="D536" s="28">
        <f t="shared" si="47"/>
        <v>16</v>
      </c>
      <c r="E536" s="32"/>
    </row>
    <row r="537" ht="14.25" customHeight="1">
      <c r="A537" s="25" t="s">
        <v>533</v>
      </c>
      <c r="B537" s="26">
        <v>6.0</v>
      </c>
      <c r="C537" s="28">
        <f>IFERROR(VLOOKUP(A537,'Market List'!$B:$F,5,FALSE),0)</f>
        <v>111.1111111</v>
      </c>
      <c r="D537" s="28">
        <f t="shared" si="47"/>
        <v>666.6666667</v>
      </c>
      <c r="E537" s="32"/>
    </row>
    <row r="538" ht="14.25" customHeight="1">
      <c r="A538" s="25" t="s">
        <v>551</v>
      </c>
      <c r="B538" s="26">
        <v>5.0</v>
      </c>
      <c r="C538" s="28">
        <f>IFERROR(VLOOKUP(A538,'Market List'!$B:$F,5,FALSE),0)</f>
        <v>900</v>
      </c>
      <c r="D538" s="28">
        <f t="shared" si="47"/>
        <v>4500</v>
      </c>
      <c r="E538" s="32"/>
    </row>
    <row r="539" ht="14.25" customHeight="1">
      <c r="A539" s="25" t="s">
        <v>568</v>
      </c>
      <c r="B539" s="26">
        <v>212.0</v>
      </c>
      <c r="C539" s="28">
        <f>IFERROR(VLOOKUP(A539,'Market List'!$B:$F,5,FALSE),0)</f>
        <v>20.8</v>
      </c>
      <c r="D539" s="28">
        <f t="shared" si="47"/>
        <v>4409.6</v>
      </c>
      <c r="E539" s="32"/>
    </row>
    <row r="540" ht="14.25" customHeight="1">
      <c r="A540" s="36" t="s">
        <v>543</v>
      </c>
      <c r="B540" s="37">
        <v>72.0</v>
      </c>
      <c r="C540" s="38">
        <f>IFERROR(VLOOKUP(A540,'Market List'!$B:$F,5,FALSE),0)</f>
        <v>18</v>
      </c>
      <c r="D540" s="38">
        <f t="shared" si="47"/>
        <v>1296</v>
      </c>
      <c r="E540" s="41"/>
    </row>
    <row r="541" ht="14.25" customHeight="1">
      <c r="A541" s="156" t="s">
        <v>515</v>
      </c>
      <c r="B541" s="154"/>
      <c r="C541" s="154"/>
      <c r="D541" s="181">
        <f>SUM(D533:D540)</f>
        <v>26180.52982</v>
      </c>
      <c r="E541" s="155" t="s">
        <v>707</v>
      </c>
    </row>
    <row r="542" ht="14.25" customHeight="1"/>
    <row r="543" ht="14.25" customHeight="1">
      <c r="A543" s="147" t="s">
        <v>212</v>
      </c>
      <c r="B543" s="151">
        <f>IFERROR(D551/D543,0)</f>
        <v>1225.731863</v>
      </c>
      <c r="C543" s="152" t="s">
        <v>478</v>
      </c>
      <c r="D543" s="219">
        <f>SUM(B545:B550)/35</f>
        <v>40.17142857</v>
      </c>
      <c r="E543" s="220" t="s">
        <v>708</v>
      </c>
    </row>
    <row r="544" ht="14.25" customHeight="1">
      <c r="A544" s="156" t="s">
        <v>420</v>
      </c>
      <c r="B544" s="154" t="s">
        <v>482</v>
      </c>
      <c r="C544" s="154" t="s">
        <v>483</v>
      </c>
      <c r="D544" s="154" t="s">
        <v>484</v>
      </c>
      <c r="E544" s="155" t="s">
        <v>17</v>
      </c>
    </row>
    <row r="545" ht="14.25" customHeight="1">
      <c r="A545" s="14" t="s">
        <v>443</v>
      </c>
      <c r="B545" s="15">
        <v>100.0</v>
      </c>
      <c r="C545" s="17">
        <f>IFERROR(VLOOKUP(A545,'Market List'!$B:$F,5,FALSE),0)</f>
        <v>75</v>
      </c>
      <c r="D545" s="17">
        <f t="shared" ref="D545:D550" si="48">IFERROR(B545*C545,0)</f>
        <v>7500</v>
      </c>
      <c r="E545" s="24" t="s">
        <v>709</v>
      </c>
    </row>
    <row r="546" ht="14.25" customHeight="1">
      <c r="A546" s="25" t="s">
        <v>430</v>
      </c>
      <c r="B546" s="26">
        <v>300.0</v>
      </c>
      <c r="C546" s="28">
        <f>IFERROR(VLOOKUP(A546,'Market List'!$B:$F,5,FALSE),0)</f>
        <v>3.15</v>
      </c>
      <c r="D546" s="28">
        <f t="shared" si="48"/>
        <v>945</v>
      </c>
      <c r="E546" s="32" t="s">
        <v>710</v>
      </c>
    </row>
    <row r="547" ht="14.25" customHeight="1">
      <c r="A547" s="25" t="s">
        <v>412</v>
      </c>
      <c r="B547" s="26">
        <v>5.0</v>
      </c>
      <c r="C547" s="28">
        <f>IFERROR(VLOOKUP(A547,'Market List'!$B:$F,5,FALSE),0)</f>
        <v>136</v>
      </c>
      <c r="D547" s="28">
        <f t="shared" si="48"/>
        <v>680</v>
      </c>
      <c r="E547" s="32" t="s">
        <v>711</v>
      </c>
    </row>
    <row r="548" ht="14.25" customHeight="1">
      <c r="A548" s="25" t="s">
        <v>444</v>
      </c>
      <c r="B548" s="26">
        <v>1.0</v>
      </c>
      <c r="C548" s="28">
        <f>IFERROR(VLOOKUP(A548,'Market List'!$B:$F,5,FALSE),0)</f>
        <v>114.4</v>
      </c>
      <c r="D548" s="28">
        <f t="shared" si="48"/>
        <v>114.4</v>
      </c>
      <c r="E548" s="32"/>
    </row>
    <row r="549" ht="14.25" customHeight="1">
      <c r="A549" s="25" t="s">
        <v>445</v>
      </c>
      <c r="B549" s="26">
        <v>1000.0</v>
      </c>
      <c r="C549" s="28">
        <f>IFERROR(VLOOKUP(A549,'Market List'!$B:$F,5,FALSE),0)</f>
        <v>40</v>
      </c>
      <c r="D549" s="28">
        <f t="shared" si="48"/>
        <v>40000</v>
      </c>
      <c r="E549" s="32"/>
    </row>
    <row r="550" ht="14.25" customHeight="1">
      <c r="A550" s="36"/>
      <c r="B550" s="37"/>
      <c r="C550" s="38"/>
      <c r="D550" s="38">
        <f t="shared" si="48"/>
        <v>0</v>
      </c>
      <c r="E550" s="41"/>
    </row>
    <row r="551" ht="14.25" customHeight="1">
      <c r="A551" s="156" t="s">
        <v>515</v>
      </c>
      <c r="B551" s="154"/>
      <c r="C551" s="154"/>
      <c r="D551" s="181">
        <f>SUM(D545:D550)</f>
        <v>49239.4</v>
      </c>
      <c r="E551" s="155" t="s">
        <v>518</v>
      </c>
    </row>
    <row r="552" ht="14.25" customHeight="1"/>
    <row r="553" ht="14.25" customHeight="1">
      <c r="A553" s="147" t="s">
        <v>397</v>
      </c>
      <c r="B553" s="151">
        <f>IFERROR(D565/D553,0)</f>
        <v>45.94038658</v>
      </c>
      <c r="C553" s="152" t="s">
        <v>478</v>
      </c>
      <c r="D553" s="154">
        <f>SUM(B555:B564)</f>
        <v>1314</v>
      </c>
      <c r="E553" s="155" t="s">
        <v>582</v>
      </c>
    </row>
    <row r="554" ht="14.25" customHeight="1">
      <c r="A554" s="156" t="s">
        <v>420</v>
      </c>
      <c r="B554" s="154" t="s">
        <v>482</v>
      </c>
      <c r="C554" s="154" t="s">
        <v>483</v>
      </c>
      <c r="D554" s="154" t="s">
        <v>484</v>
      </c>
      <c r="E554" s="155" t="s">
        <v>17</v>
      </c>
    </row>
    <row r="555" ht="14.25" customHeight="1">
      <c r="A555" s="14" t="s">
        <v>265</v>
      </c>
      <c r="B555" s="15">
        <v>200.0</v>
      </c>
      <c r="C555" s="17">
        <f>IFERROR(VLOOKUP(A555,'Market List'!$B:$F,5,FALSE),0)</f>
        <v>51.019</v>
      </c>
      <c r="D555" s="17">
        <f t="shared" ref="D555:D564" si="49">IFERROR(B555*C555,0)</f>
        <v>10203.8</v>
      </c>
      <c r="E555" s="24" t="s">
        <v>712</v>
      </c>
    </row>
    <row r="556" ht="14.25" customHeight="1">
      <c r="A556" s="25" t="s">
        <v>538</v>
      </c>
      <c r="B556" s="26">
        <v>300.0</v>
      </c>
      <c r="C556" s="28">
        <f>IFERROR(VLOOKUP(A556,'Market List'!$B:$F,5,FALSE),0)</f>
        <v>21.94444444</v>
      </c>
      <c r="D556" s="28">
        <f t="shared" si="49"/>
        <v>6583.333333</v>
      </c>
      <c r="E556" s="32" t="s">
        <v>713</v>
      </c>
    </row>
    <row r="557" ht="14.25" customHeight="1">
      <c r="A557" s="25" t="s">
        <v>434</v>
      </c>
      <c r="B557" s="26">
        <v>114.0</v>
      </c>
      <c r="C557" s="28">
        <f>IFERROR(VLOOKUP(A557,'Market List'!$B:$F,5,FALSE),0)</f>
        <v>138.7777778</v>
      </c>
      <c r="D557" s="28">
        <f t="shared" si="49"/>
        <v>15820.66667</v>
      </c>
      <c r="E557" s="32" t="s">
        <v>714</v>
      </c>
    </row>
    <row r="558" ht="14.25" customHeight="1">
      <c r="A558" s="25" t="s">
        <v>465</v>
      </c>
      <c r="B558" s="26">
        <v>200.0</v>
      </c>
      <c r="C558" s="28">
        <f>IFERROR(VLOOKUP(A558,'Market List'!$B:$F,5,FALSE),0)</f>
        <v>75</v>
      </c>
      <c r="D558" s="28">
        <f t="shared" si="49"/>
        <v>15000</v>
      </c>
      <c r="E558" s="32" t="s">
        <v>715</v>
      </c>
    </row>
    <row r="559" ht="14.25" customHeight="1">
      <c r="A559" s="25" t="s">
        <v>430</v>
      </c>
      <c r="B559" s="26">
        <v>200.0</v>
      </c>
      <c r="C559" s="28">
        <f>IFERROR(VLOOKUP(A559,'Market List'!$B:$F,5,FALSE),0)</f>
        <v>3.15</v>
      </c>
      <c r="D559" s="28">
        <f t="shared" si="49"/>
        <v>630</v>
      </c>
      <c r="E559" s="32"/>
    </row>
    <row r="560" ht="14.25" customHeight="1">
      <c r="A560" s="25" t="s">
        <v>539</v>
      </c>
      <c r="B560" s="26">
        <v>104.0</v>
      </c>
      <c r="C560" s="28">
        <f>IFERROR(VLOOKUP(A560,'Market List'!$B:$F,5,FALSE),0)</f>
        <v>64.93506494</v>
      </c>
      <c r="D560" s="28">
        <f t="shared" si="49"/>
        <v>6753.246753</v>
      </c>
      <c r="E560" s="32"/>
    </row>
    <row r="561" ht="14.25" customHeight="1">
      <c r="A561" s="25" t="s">
        <v>436</v>
      </c>
      <c r="B561" s="26">
        <v>86.0</v>
      </c>
      <c r="C561" s="28">
        <f>IFERROR(VLOOKUP(A561,'Market List'!$B:$F,5,FALSE),0)</f>
        <v>18</v>
      </c>
      <c r="D561" s="28">
        <f t="shared" si="49"/>
        <v>1548</v>
      </c>
      <c r="E561" s="32"/>
    </row>
    <row r="562" ht="14.25" customHeight="1">
      <c r="A562" s="25" t="s">
        <v>398</v>
      </c>
      <c r="B562" s="26">
        <v>41.0</v>
      </c>
      <c r="C562" s="28">
        <f>IFERROR(VLOOKUP(A562,'Market List'!$B:$F,5,FALSE),0)</f>
        <v>43.18181818</v>
      </c>
      <c r="D562" s="28">
        <f t="shared" si="49"/>
        <v>1770.454545</v>
      </c>
      <c r="E562" s="32"/>
    </row>
    <row r="563" ht="14.25" customHeight="1">
      <c r="A563" s="25" t="s">
        <v>425</v>
      </c>
      <c r="B563" s="26">
        <v>40.0</v>
      </c>
      <c r="C563" s="28">
        <f>IFERROR(VLOOKUP(A563,'Market List'!$B:$F,5,FALSE),0)</f>
        <v>16</v>
      </c>
      <c r="D563" s="28">
        <f t="shared" si="49"/>
        <v>640</v>
      </c>
      <c r="E563" s="32"/>
    </row>
    <row r="564" ht="14.25" customHeight="1">
      <c r="A564" s="36" t="s">
        <v>427</v>
      </c>
      <c r="B564" s="37">
        <v>29.0</v>
      </c>
      <c r="C564" s="38">
        <f>IFERROR(VLOOKUP(A564,'Market List'!$B:$F,5,FALSE),0)</f>
        <v>48.83333333</v>
      </c>
      <c r="D564" s="38">
        <f t="shared" si="49"/>
        <v>1416.166667</v>
      </c>
      <c r="E564" s="41"/>
    </row>
    <row r="565" ht="14.25" customHeight="1">
      <c r="A565" s="156" t="s">
        <v>515</v>
      </c>
      <c r="B565" s="154"/>
      <c r="C565" s="154"/>
      <c r="D565" s="181">
        <f>SUM(D555:D564)</f>
        <v>60365.66797</v>
      </c>
      <c r="E565" s="155" t="s">
        <v>518</v>
      </c>
    </row>
    <row r="566" ht="14.25" customHeight="1"/>
    <row r="567" ht="14.25" customHeight="1">
      <c r="A567" s="147" t="s">
        <v>622</v>
      </c>
      <c r="B567" s="151">
        <f>IFERROR(D575/D567,0)</f>
        <v>90.91000389</v>
      </c>
      <c r="C567" s="152" t="s">
        <v>478</v>
      </c>
      <c r="D567" s="154">
        <f>SUM(B569:B574)</f>
        <v>390</v>
      </c>
      <c r="E567" s="155" t="s">
        <v>582</v>
      </c>
    </row>
    <row r="568" ht="14.25" customHeight="1">
      <c r="A568" s="156" t="s">
        <v>420</v>
      </c>
      <c r="B568" s="154" t="s">
        <v>482</v>
      </c>
      <c r="C568" s="154" t="s">
        <v>483</v>
      </c>
      <c r="D568" s="154" t="s">
        <v>484</v>
      </c>
      <c r="E568" s="155" t="s">
        <v>17</v>
      </c>
    </row>
    <row r="569" ht="14.25" customHeight="1">
      <c r="A569" s="14" t="s">
        <v>41</v>
      </c>
      <c r="B569" s="15">
        <v>300.0</v>
      </c>
      <c r="C569" s="17">
        <f>IFERROR(VLOOKUP(A569,'Market List'!$B:$F,5,FALSE),0)</f>
        <v>72.3</v>
      </c>
      <c r="D569" s="17">
        <f t="shared" ref="D569:D574" si="50">IFERROR(B569*C569,0)</f>
        <v>21690</v>
      </c>
      <c r="E569" s="24" t="s">
        <v>673</v>
      </c>
    </row>
    <row r="570" ht="14.25" customHeight="1">
      <c r="A570" s="25" t="s">
        <v>464</v>
      </c>
      <c r="B570" s="26">
        <v>50.0</v>
      </c>
      <c r="C570" s="28">
        <f>IFERROR(VLOOKUP(A570,'Market List'!$B:$F,5,FALSE),0)</f>
        <v>20.63636364</v>
      </c>
      <c r="D570" s="28">
        <f t="shared" si="50"/>
        <v>1031.818182</v>
      </c>
      <c r="E570" s="32"/>
    </row>
    <row r="571" ht="14.25" customHeight="1">
      <c r="A571" s="25" t="s">
        <v>138</v>
      </c>
      <c r="B571" s="26">
        <v>35.0</v>
      </c>
      <c r="C571" s="28">
        <f>IFERROR(VLOOKUP(A571,'Market List'!$B:$F,5,FALSE),0)</f>
        <v>351.6666667</v>
      </c>
      <c r="D571" s="28">
        <f t="shared" si="50"/>
        <v>12308.33333</v>
      </c>
      <c r="E571" s="32"/>
    </row>
    <row r="572" ht="14.25" customHeight="1">
      <c r="A572" s="25" t="s">
        <v>463</v>
      </c>
      <c r="B572" s="26">
        <v>5.0</v>
      </c>
      <c r="C572" s="28">
        <f>IFERROR(VLOOKUP(A572,'Market List'!$B:$F,5,FALSE),0)</f>
        <v>84.95</v>
      </c>
      <c r="D572" s="28">
        <f t="shared" si="50"/>
        <v>424.75</v>
      </c>
      <c r="E572" s="32"/>
    </row>
    <row r="573" ht="14.25" customHeight="1">
      <c r="A573" s="25"/>
      <c r="B573" s="26"/>
      <c r="C573" s="28"/>
      <c r="D573" s="28">
        <f t="shared" si="50"/>
        <v>0</v>
      </c>
      <c r="E573" s="32"/>
    </row>
    <row r="574" ht="14.25" customHeight="1">
      <c r="A574" s="36"/>
      <c r="B574" s="37"/>
      <c r="C574" s="38"/>
      <c r="D574" s="38">
        <f t="shared" si="50"/>
        <v>0</v>
      </c>
      <c r="E574" s="41"/>
    </row>
    <row r="575" ht="14.25" customHeight="1">
      <c r="A575" s="156" t="s">
        <v>515</v>
      </c>
      <c r="B575" s="154"/>
      <c r="C575" s="154"/>
      <c r="D575" s="181">
        <f>SUM(D569:D574)</f>
        <v>35454.90152</v>
      </c>
      <c r="E575" s="155" t="s">
        <v>518</v>
      </c>
    </row>
    <row r="576" ht="14.25" customHeight="1"/>
    <row r="577" ht="14.25" customHeight="1">
      <c r="A577" s="147" t="s">
        <v>623</v>
      </c>
      <c r="B577" s="151">
        <f>IFERROR(D585/D577,0)</f>
        <v>107.2936092</v>
      </c>
      <c r="C577" s="152" t="s">
        <v>478</v>
      </c>
      <c r="D577" s="154">
        <f>SUM(B579:B584)*80%</f>
        <v>160</v>
      </c>
      <c r="E577" s="155" t="s">
        <v>24</v>
      </c>
    </row>
    <row r="578" ht="14.25" customHeight="1">
      <c r="A578" s="156" t="s">
        <v>420</v>
      </c>
      <c r="B578" s="154" t="s">
        <v>482</v>
      </c>
      <c r="C578" s="154" t="s">
        <v>483</v>
      </c>
      <c r="D578" s="154" t="s">
        <v>484</v>
      </c>
      <c r="E578" s="155" t="s">
        <v>17</v>
      </c>
    </row>
    <row r="579" ht="14.25" customHeight="1">
      <c r="A579" s="14" t="s">
        <v>292</v>
      </c>
      <c r="B579" s="15">
        <v>150.0</v>
      </c>
      <c r="C579" s="17">
        <f>'WIP FOOD'!$B$587</f>
        <v>89.2798498</v>
      </c>
      <c r="D579" s="17">
        <f t="shared" ref="D579:D584" si="51">IFERROR(B579*C579,0)</f>
        <v>13391.97747</v>
      </c>
      <c r="E579" s="24"/>
    </row>
    <row r="580" ht="14.25" customHeight="1">
      <c r="A580" s="25" t="s">
        <v>541</v>
      </c>
      <c r="B580" s="26">
        <v>50.0</v>
      </c>
      <c r="C580" s="28">
        <f>IFERROR(VLOOKUP(A580,'Market List'!$B:$F,5,FALSE),0)</f>
        <v>75.5</v>
      </c>
      <c r="D580" s="28">
        <f t="shared" si="51"/>
        <v>3775</v>
      </c>
      <c r="E580" s="32"/>
    </row>
    <row r="581" ht="14.25" customHeight="1">
      <c r="A581" s="25"/>
      <c r="B581" s="26"/>
      <c r="C581" s="28"/>
      <c r="D581" s="28">
        <f t="shared" si="51"/>
        <v>0</v>
      </c>
      <c r="E581" s="32"/>
    </row>
    <row r="582" ht="14.25" customHeight="1">
      <c r="A582" s="25"/>
      <c r="B582" s="26"/>
      <c r="C582" s="28"/>
      <c r="D582" s="28">
        <f t="shared" si="51"/>
        <v>0</v>
      </c>
      <c r="E582" s="32"/>
    </row>
    <row r="583" ht="14.25" customHeight="1">
      <c r="A583" s="25"/>
      <c r="B583" s="26"/>
      <c r="C583" s="28"/>
      <c r="D583" s="28">
        <f t="shared" si="51"/>
        <v>0</v>
      </c>
      <c r="E583" s="32"/>
    </row>
    <row r="584" ht="14.25" customHeight="1">
      <c r="A584" s="36"/>
      <c r="B584" s="37"/>
      <c r="C584" s="38"/>
      <c r="D584" s="38">
        <f t="shared" si="51"/>
        <v>0</v>
      </c>
      <c r="E584" s="41"/>
    </row>
    <row r="585" ht="14.25" customHeight="1">
      <c r="A585" s="156" t="s">
        <v>515</v>
      </c>
      <c r="B585" s="154"/>
      <c r="C585" s="154"/>
      <c r="D585" s="181">
        <f>SUM(D579:D584)</f>
        <v>17166.97747</v>
      </c>
      <c r="E585" s="155" t="s">
        <v>716</v>
      </c>
    </row>
    <row r="586" ht="14.25" customHeight="1"/>
    <row r="587" ht="14.25" customHeight="1">
      <c r="A587" s="147" t="s">
        <v>292</v>
      </c>
      <c r="B587" s="151">
        <f>IFERROR(D595/D587,0)</f>
        <v>89.2798498</v>
      </c>
      <c r="C587" s="152" t="s">
        <v>478</v>
      </c>
      <c r="D587" s="154">
        <f>SUM(B589:B594)*80%</f>
        <v>785.6</v>
      </c>
      <c r="E587" s="155" t="s">
        <v>24</v>
      </c>
    </row>
    <row r="588" ht="14.25" customHeight="1">
      <c r="A588" s="156" t="s">
        <v>420</v>
      </c>
      <c r="B588" s="154" t="s">
        <v>482</v>
      </c>
      <c r="C588" s="154" t="s">
        <v>483</v>
      </c>
      <c r="D588" s="154" t="s">
        <v>484</v>
      </c>
      <c r="E588" s="155" t="s">
        <v>17</v>
      </c>
    </row>
    <row r="589" ht="14.25" customHeight="1">
      <c r="A589" s="14" t="s">
        <v>557</v>
      </c>
      <c r="B589" s="15">
        <v>400.0</v>
      </c>
      <c r="C589" s="17">
        <f>IFERROR(VLOOKUP(A589,'Market List'!$B:$F,5,FALSE),0)</f>
        <v>40</v>
      </c>
      <c r="D589" s="17">
        <f t="shared" ref="D589:D594" si="52">IFERROR(B589*C589,0)</f>
        <v>16000</v>
      </c>
      <c r="E589" s="24"/>
    </row>
    <row r="590" ht="14.25" customHeight="1">
      <c r="A590" s="25" t="s">
        <v>559</v>
      </c>
      <c r="B590" s="26">
        <v>225.0</v>
      </c>
      <c r="C590" s="28">
        <f>IFERROR(VLOOKUP(A590,'Market List'!$B:$F,5,FALSE),0)</f>
        <v>208.9</v>
      </c>
      <c r="D590" s="28">
        <f t="shared" si="52"/>
        <v>47002.5</v>
      </c>
      <c r="E590" s="32"/>
    </row>
    <row r="591" ht="14.25" customHeight="1">
      <c r="A591" s="25" t="s">
        <v>548</v>
      </c>
      <c r="B591" s="26">
        <v>20.0</v>
      </c>
      <c r="C591" s="28">
        <f>IFERROR(VLOOKUP(A591,'Market List'!$B:$F,5,FALSE),0)</f>
        <v>22.5</v>
      </c>
      <c r="D591" s="28">
        <f t="shared" si="52"/>
        <v>450</v>
      </c>
      <c r="E591" s="32"/>
    </row>
    <row r="592" ht="14.25" customHeight="1">
      <c r="A592" s="25" t="s">
        <v>469</v>
      </c>
      <c r="B592" s="26">
        <v>25.0</v>
      </c>
      <c r="C592" s="28">
        <f>IFERROR(VLOOKUP(A592,'Market List'!$B:$F,5,FALSE),0)</f>
        <v>42.79</v>
      </c>
      <c r="D592" s="28">
        <f t="shared" si="52"/>
        <v>1069.75</v>
      </c>
      <c r="E592" s="32"/>
    </row>
    <row r="593" ht="14.25" customHeight="1">
      <c r="A593" s="25" t="s">
        <v>543</v>
      </c>
      <c r="B593" s="26">
        <v>312.0</v>
      </c>
      <c r="C593" s="28">
        <f>IFERROR(VLOOKUP(A593,'Market List'!$B:$F,5,FALSE),0)</f>
        <v>18</v>
      </c>
      <c r="D593" s="28">
        <f t="shared" si="52"/>
        <v>5616</v>
      </c>
      <c r="E593" s="32"/>
    </row>
    <row r="594" ht="14.25" customHeight="1">
      <c r="A594" s="36"/>
      <c r="B594" s="37"/>
      <c r="C594" s="38"/>
      <c r="D594" s="38">
        <f t="shared" si="52"/>
        <v>0</v>
      </c>
      <c r="E594" s="41"/>
    </row>
    <row r="595" ht="14.25" customHeight="1">
      <c r="A595" s="156" t="s">
        <v>515</v>
      </c>
      <c r="B595" s="154"/>
      <c r="C595" s="154"/>
      <c r="D595" s="181">
        <f>SUM(D589:D594)</f>
        <v>70138.25</v>
      </c>
      <c r="E595" s="155" t="s">
        <v>717</v>
      </c>
    </row>
    <row r="596" ht="14.25" customHeight="1"/>
    <row r="597" ht="14.25" customHeight="1">
      <c r="A597" s="147" t="s">
        <v>625</v>
      </c>
      <c r="B597" s="151">
        <f>IFERROR(D605/D597,0)</f>
        <v>35.1543379</v>
      </c>
      <c r="C597" s="152" t="s">
        <v>478</v>
      </c>
      <c r="D597" s="154">
        <f>SUM(B599:B604)*90%</f>
        <v>328.5</v>
      </c>
      <c r="E597" s="155" t="s">
        <v>24</v>
      </c>
    </row>
    <row r="598" ht="14.25" customHeight="1">
      <c r="A598" s="156" t="s">
        <v>420</v>
      </c>
      <c r="B598" s="154" t="s">
        <v>482</v>
      </c>
      <c r="C598" s="154" t="s">
        <v>483</v>
      </c>
      <c r="D598" s="154" t="s">
        <v>484</v>
      </c>
      <c r="E598" s="155" t="s">
        <v>17</v>
      </c>
    </row>
    <row r="599" ht="14.25" customHeight="1">
      <c r="A599" s="14" t="s">
        <v>557</v>
      </c>
      <c r="B599" s="15">
        <v>250.0</v>
      </c>
      <c r="C599" s="17">
        <f>IFERROR(VLOOKUP(A599,'Market List'!$B:$F,5,FALSE),0)</f>
        <v>40</v>
      </c>
      <c r="D599" s="17">
        <f t="shared" ref="D599:D604" si="53">IFERROR(B599*C599,0)</f>
        <v>10000</v>
      </c>
      <c r="E599" s="24"/>
    </row>
    <row r="600" ht="14.25" customHeight="1">
      <c r="A600" s="25" t="s">
        <v>543</v>
      </c>
      <c r="B600" s="26">
        <v>60.0</v>
      </c>
      <c r="C600" s="28">
        <f>IFERROR(VLOOKUP(A600,'Market List'!$B:$F,5,FALSE),0)</f>
        <v>18</v>
      </c>
      <c r="D600" s="28">
        <f t="shared" si="53"/>
        <v>1080</v>
      </c>
      <c r="E600" s="32"/>
    </row>
    <row r="601" ht="14.25" customHeight="1">
      <c r="A601" s="25" t="s">
        <v>554</v>
      </c>
      <c r="B601" s="26">
        <v>30.0</v>
      </c>
      <c r="C601" s="28">
        <f>IFERROR(VLOOKUP(A601,'Market List'!$B:$F,5,FALSE),0)</f>
        <v>3.15</v>
      </c>
      <c r="D601" s="28">
        <f t="shared" si="53"/>
        <v>94.5</v>
      </c>
      <c r="E601" s="32"/>
    </row>
    <row r="602" ht="14.25" customHeight="1">
      <c r="A602" s="25" t="s">
        <v>469</v>
      </c>
      <c r="B602" s="26">
        <v>5.0</v>
      </c>
      <c r="C602" s="28">
        <f>IFERROR(VLOOKUP(A602,'Market List'!$B:$F,5,FALSE),0)</f>
        <v>42.79</v>
      </c>
      <c r="D602" s="28">
        <f t="shared" si="53"/>
        <v>213.95</v>
      </c>
      <c r="E602" s="32"/>
    </row>
    <row r="603" ht="14.25" customHeight="1">
      <c r="A603" s="25" t="s">
        <v>548</v>
      </c>
      <c r="B603" s="26">
        <v>5.0</v>
      </c>
      <c r="C603" s="28">
        <f>IFERROR(VLOOKUP(A603,'Market List'!$B:$F,5,FALSE),0)</f>
        <v>22.5</v>
      </c>
      <c r="D603" s="28">
        <f t="shared" si="53"/>
        <v>112.5</v>
      </c>
      <c r="E603" s="32"/>
    </row>
    <row r="604" ht="14.25" customHeight="1">
      <c r="A604" s="36" t="s">
        <v>554</v>
      </c>
      <c r="B604" s="37">
        <v>15.0</v>
      </c>
      <c r="C604" s="38">
        <f>IFERROR(VLOOKUP(A604,'Market List'!$B:$F,5,FALSE),0)</f>
        <v>3.15</v>
      </c>
      <c r="D604" s="38">
        <f t="shared" si="53"/>
        <v>47.25</v>
      </c>
      <c r="E604" s="41"/>
    </row>
    <row r="605" ht="14.25" customHeight="1">
      <c r="A605" s="156" t="s">
        <v>515</v>
      </c>
      <c r="B605" s="154"/>
      <c r="C605" s="154"/>
      <c r="D605" s="181">
        <f>SUM(D599:D604)</f>
        <v>11548.2</v>
      </c>
      <c r="E605" s="155" t="s">
        <v>718</v>
      </c>
    </row>
    <row r="606" ht="14.25" customHeight="1"/>
    <row r="607" ht="14.25" customHeight="1">
      <c r="A607" s="147" t="s">
        <v>369</v>
      </c>
      <c r="B607" s="151">
        <f>IFERROR(D615/D607,0)</f>
        <v>203.8935556</v>
      </c>
      <c r="C607" s="152" t="s">
        <v>478</v>
      </c>
      <c r="D607" s="154">
        <f>SUM(B609:B614)</f>
        <v>210</v>
      </c>
      <c r="E607" s="155" t="s">
        <v>582</v>
      </c>
    </row>
    <row r="608" ht="14.25" customHeight="1">
      <c r="A608" s="156" t="s">
        <v>420</v>
      </c>
      <c r="B608" s="154" t="s">
        <v>482</v>
      </c>
      <c r="C608" s="154" t="s">
        <v>483</v>
      </c>
      <c r="D608" s="154" t="s">
        <v>484</v>
      </c>
      <c r="E608" s="155" t="s">
        <v>17</v>
      </c>
    </row>
    <row r="609" ht="14.25" customHeight="1">
      <c r="A609" s="14" t="s">
        <v>425</v>
      </c>
      <c r="B609" s="15">
        <v>30.0</v>
      </c>
      <c r="C609" s="17">
        <f>IFERROR(VLOOKUP(A609,'Market List'!$B:$F,5,FALSE),0)</f>
        <v>16</v>
      </c>
      <c r="D609" s="17">
        <f t="shared" ref="D609:D614" si="54">IFERROR(B609*C609,0)</f>
        <v>480</v>
      </c>
      <c r="E609" s="24" t="s">
        <v>719</v>
      </c>
    </row>
    <row r="610" ht="14.25" customHeight="1">
      <c r="A610" s="25" t="s">
        <v>433</v>
      </c>
      <c r="B610" s="26">
        <v>25.0</v>
      </c>
      <c r="C610" s="28">
        <f>IFERROR(VLOOKUP(A610,'Market List'!$B:$F,5,FALSE),0)</f>
        <v>155.5</v>
      </c>
      <c r="D610" s="28">
        <f t="shared" si="54"/>
        <v>3887.5</v>
      </c>
      <c r="E610" s="32"/>
    </row>
    <row r="611" ht="14.25" customHeight="1">
      <c r="A611" s="25" t="s">
        <v>523</v>
      </c>
      <c r="B611" s="26">
        <v>30.0</v>
      </c>
      <c r="C611" s="28">
        <f>IFERROR(VLOOKUP(A611,'Market List'!$B:$F,5,FALSE),0)</f>
        <v>82.466</v>
      </c>
      <c r="D611" s="28">
        <f t="shared" si="54"/>
        <v>2473.98</v>
      </c>
      <c r="E611" s="32"/>
    </row>
    <row r="612" ht="14.25" customHeight="1">
      <c r="A612" s="25" t="s">
        <v>138</v>
      </c>
      <c r="B612" s="26">
        <v>100.0</v>
      </c>
      <c r="C612" s="28">
        <f>IFERROR(VLOOKUP(A612,'Market List'!$B:$F,5,FALSE),0)</f>
        <v>351.6666667</v>
      </c>
      <c r="D612" s="28">
        <f t="shared" si="54"/>
        <v>35166.66667</v>
      </c>
      <c r="E612" s="32"/>
    </row>
    <row r="613" ht="14.25" customHeight="1">
      <c r="A613" s="25" t="s">
        <v>428</v>
      </c>
      <c r="B613" s="26">
        <v>20.0</v>
      </c>
      <c r="C613" s="28">
        <f>IFERROR(VLOOKUP(A613,'Market List'!$B:$F,5,FALSE),0)</f>
        <v>18</v>
      </c>
      <c r="D613" s="28">
        <f t="shared" si="54"/>
        <v>360</v>
      </c>
      <c r="E613" s="32"/>
    </row>
    <row r="614" ht="14.25" customHeight="1">
      <c r="A614" s="36" t="s">
        <v>524</v>
      </c>
      <c r="B614" s="37">
        <v>5.0</v>
      </c>
      <c r="C614" s="38">
        <f>IFERROR(VLOOKUP(A614,'Market List'!$B:$F,5,FALSE),0)</f>
        <v>89.9</v>
      </c>
      <c r="D614" s="38">
        <f t="shared" si="54"/>
        <v>449.5</v>
      </c>
      <c r="E614" s="41"/>
    </row>
    <row r="615" ht="14.25" customHeight="1">
      <c r="A615" s="156" t="s">
        <v>515</v>
      </c>
      <c r="B615" s="154"/>
      <c r="C615" s="154"/>
      <c r="D615" s="181">
        <f>SUM(D609:D614)</f>
        <v>42817.64667</v>
      </c>
      <c r="E615" s="155" t="s">
        <v>518</v>
      </c>
    </row>
    <row r="616" ht="14.25" customHeight="1"/>
    <row r="617" ht="14.25" customHeight="1">
      <c r="A617" s="147" t="s">
        <v>627</v>
      </c>
      <c r="B617" s="151">
        <f>IFERROR(D625/D617,0)</f>
        <v>43.27272727</v>
      </c>
      <c r="C617" s="152" t="s">
        <v>478</v>
      </c>
      <c r="D617" s="154">
        <f>SUM(B619:B624)</f>
        <v>968</v>
      </c>
      <c r="E617" s="155" t="s">
        <v>582</v>
      </c>
    </row>
    <row r="618" ht="14.25" customHeight="1">
      <c r="A618" s="156" t="s">
        <v>420</v>
      </c>
      <c r="B618" s="154" t="s">
        <v>482</v>
      </c>
      <c r="C618" s="154" t="s">
        <v>483</v>
      </c>
      <c r="D618" s="154" t="s">
        <v>484</v>
      </c>
      <c r="E618" s="155" t="s">
        <v>17</v>
      </c>
    </row>
    <row r="619" ht="14.25" customHeight="1">
      <c r="A619" s="14" t="s">
        <v>427</v>
      </c>
      <c r="B619" s="15">
        <v>750.0</v>
      </c>
      <c r="C619" s="17">
        <f>IFERROR(VLOOKUP(A619,'Market List'!$B:$F,5,FALSE),0)</f>
        <v>48.83333333</v>
      </c>
      <c r="D619" s="17">
        <f t="shared" ref="D619:D624" si="55">IFERROR(B619*C619,0)</f>
        <v>36625</v>
      </c>
      <c r="E619" s="24" t="s">
        <v>720</v>
      </c>
    </row>
    <row r="620" ht="14.25" customHeight="1">
      <c r="A620" s="25" t="s">
        <v>428</v>
      </c>
      <c r="B620" s="26">
        <v>190.0</v>
      </c>
      <c r="C620" s="28">
        <f>IFERROR(VLOOKUP(A620,'Market List'!$B:$F,5,FALSE),0)</f>
        <v>18</v>
      </c>
      <c r="D620" s="28">
        <f t="shared" si="55"/>
        <v>3420</v>
      </c>
      <c r="E620" s="32"/>
    </row>
    <row r="621" ht="14.25" customHeight="1">
      <c r="A621" s="25" t="s">
        <v>433</v>
      </c>
      <c r="B621" s="26">
        <v>10.0</v>
      </c>
      <c r="C621" s="28">
        <f>IFERROR(VLOOKUP(A621,'Market List'!$B:$F,5,FALSE),0)</f>
        <v>155.5</v>
      </c>
      <c r="D621" s="28">
        <f t="shared" si="55"/>
        <v>1555</v>
      </c>
      <c r="E621" s="32"/>
    </row>
    <row r="622" ht="14.25" customHeight="1">
      <c r="A622" s="25" t="s">
        <v>425</v>
      </c>
      <c r="B622" s="26">
        <v>18.0</v>
      </c>
      <c r="C622" s="28">
        <f>IFERROR(VLOOKUP(A622,'Market List'!$B:$F,5,FALSE),0)</f>
        <v>16</v>
      </c>
      <c r="D622" s="28">
        <f t="shared" si="55"/>
        <v>288</v>
      </c>
      <c r="E622" s="32"/>
    </row>
    <row r="623" ht="14.25" customHeight="1">
      <c r="A623" s="25"/>
      <c r="B623" s="26"/>
      <c r="C623" s="28"/>
      <c r="D623" s="28">
        <f t="shared" si="55"/>
        <v>0</v>
      </c>
      <c r="E623" s="32"/>
    </row>
    <row r="624" ht="14.25" customHeight="1">
      <c r="A624" s="36"/>
      <c r="B624" s="37"/>
      <c r="C624" s="38"/>
      <c r="D624" s="38">
        <f t="shared" si="55"/>
        <v>0</v>
      </c>
      <c r="E624" s="41"/>
    </row>
    <row r="625" ht="14.25" customHeight="1">
      <c r="A625" s="156" t="s">
        <v>515</v>
      </c>
      <c r="B625" s="154"/>
      <c r="C625" s="154"/>
      <c r="D625" s="181">
        <f>SUM(D619:D624)</f>
        <v>41888</v>
      </c>
      <c r="E625" s="155" t="s">
        <v>518</v>
      </c>
    </row>
    <row r="626" ht="14.25" customHeight="1"/>
    <row r="627" ht="14.25" customHeight="1">
      <c r="A627" s="147" t="s">
        <v>246</v>
      </c>
      <c r="B627" s="151">
        <f>IFERROR(D638/D627,0)</f>
        <v>34.23830409</v>
      </c>
      <c r="C627" s="152" t="s">
        <v>478</v>
      </c>
      <c r="D627" s="154">
        <f>SUM(B629:B637)</f>
        <v>1140</v>
      </c>
      <c r="E627" s="155" t="s">
        <v>582</v>
      </c>
    </row>
    <row r="628" ht="14.25" customHeight="1">
      <c r="A628" s="156" t="s">
        <v>420</v>
      </c>
      <c r="B628" s="154" t="s">
        <v>482</v>
      </c>
      <c r="C628" s="154" t="s">
        <v>483</v>
      </c>
      <c r="D628" s="154" t="s">
        <v>484</v>
      </c>
      <c r="E628" s="155" t="s">
        <v>17</v>
      </c>
    </row>
    <row r="629" ht="14.25" customHeight="1">
      <c r="A629" s="14" t="s">
        <v>448</v>
      </c>
      <c r="B629" s="15">
        <v>200.0</v>
      </c>
      <c r="C629" s="17">
        <f>IFERROR(VLOOKUP(A629,'Market List'!$B:$F,5,FALSE),0)</f>
        <v>75</v>
      </c>
      <c r="D629" s="17">
        <f t="shared" ref="D629:D637" si="56">IFERROR(B629*C629,0)</f>
        <v>15000</v>
      </c>
      <c r="E629" s="24" t="s">
        <v>721</v>
      </c>
    </row>
    <row r="630" ht="14.25" customHeight="1">
      <c r="A630" s="25" t="s">
        <v>430</v>
      </c>
      <c r="B630" s="26">
        <v>400.0</v>
      </c>
      <c r="C630" s="28">
        <f>IFERROR(VLOOKUP(A630,'Market List'!$B:$F,5,FALSE),0)</f>
        <v>3.15</v>
      </c>
      <c r="D630" s="28">
        <f t="shared" si="56"/>
        <v>1260</v>
      </c>
      <c r="E630" s="32" t="s">
        <v>722</v>
      </c>
    </row>
    <row r="631" ht="14.25" customHeight="1">
      <c r="A631" s="25" t="s">
        <v>449</v>
      </c>
      <c r="B631" s="26">
        <v>210.0</v>
      </c>
      <c r="C631" s="28">
        <f>IFERROR(VLOOKUP(A631,'Market List'!$B:$F,5,FALSE),0)</f>
        <v>58.5</v>
      </c>
      <c r="D631" s="28">
        <f t="shared" si="56"/>
        <v>12285</v>
      </c>
      <c r="E631" s="32" t="s">
        <v>723</v>
      </c>
    </row>
    <row r="632" ht="14.25" customHeight="1">
      <c r="A632" s="25" t="s">
        <v>427</v>
      </c>
      <c r="B632" s="26">
        <v>50.0</v>
      </c>
      <c r="C632" s="28">
        <f>IFERROR(VLOOKUP(A632,'Market List'!$B:$F,5,FALSE),0)</f>
        <v>48.83333333</v>
      </c>
      <c r="D632" s="28">
        <f t="shared" si="56"/>
        <v>2441.666667</v>
      </c>
      <c r="E632" s="32"/>
    </row>
    <row r="633" ht="14.25" customHeight="1">
      <c r="A633" s="25" t="s">
        <v>450</v>
      </c>
      <c r="B633" s="26">
        <v>50.0</v>
      </c>
      <c r="C633" s="28">
        <f>IFERROR(VLOOKUP(A633,'Market List'!$B:$F,5,FALSE),0)</f>
        <v>17.9</v>
      </c>
      <c r="D633" s="28">
        <f t="shared" si="56"/>
        <v>895</v>
      </c>
      <c r="E633" s="32"/>
    </row>
    <row r="634" ht="14.25" customHeight="1">
      <c r="A634" s="25" t="s">
        <v>451</v>
      </c>
      <c r="B634" s="26">
        <v>100.0</v>
      </c>
      <c r="C634" s="28">
        <f>IFERROR(VLOOKUP(A634,'Market List'!$B:$F,5,FALSE),0)</f>
        <v>35</v>
      </c>
      <c r="D634" s="28">
        <f t="shared" si="56"/>
        <v>3500</v>
      </c>
      <c r="E634" s="32"/>
    </row>
    <row r="635" ht="14.25" customHeight="1">
      <c r="A635" s="25" t="s">
        <v>103</v>
      </c>
      <c r="B635" s="26">
        <v>70.0</v>
      </c>
      <c r="C635" s="28">
        <f>IFERROR(VLOOKUP(A635,'Market List'!$B:$F,5,FALSE),0)</f>
        <v>35</v>
      </c>
      <c r="D635" s="28">
        <f t="shared" si="56"/>
        <v>2450</v>
      </c>
      <c r="E635" s="32" t="s">
        <v>724</v>
      </c>
    </row>
    <row r="636" ht="14.25" customHeight="1">
      <c r="A636" s="25" t="s">
        <v>36</v>
      </c>
      <c r="B636" s="26">
        <v>30.0</v>
      </c>
      <c r="C636" s="28">
        <f>IFERROR(VLOOKUP(A636,'Market List'!$B:$F,5,FALSE),0)</f>
        <v>20</v>
      </c>
      <c r="D636" s="28">
        <f t="shared" si="56"/>
        <v>600</v>
      </c>
      <c r="E636" s="32" t="s">
        <v>724</v>
      </c>
    </row>
    <row r="637" ht="14.25" customHeight="1">
      <c r="A637" s="36" t="s">
        <v>96</v>
      </c>
      <c r="B637" s="37">
        <v>30.0</v>
      </c>
      <c r="C637" s="38">
        <f>IFERROR(VLOOKUP(A637,'Market List'!$B:$F,5,FALSE),0)</f>
        <v>20</v>
      </c>
      <c r="D637" s="38">
        <f t="shared" si="56"/>
        <v>600</v>
      </c>
      <c r="E637" s="41"/>
    </row>
    <row r="638" ht="14.25" customHeight="1">
      <c r="A638" s="156" t="s">
        <v>515</v>
      </c>
      <c r="B638" s="154"/>
      <c r="C638" s="154"/>
      <c r="D638" s="181">
        <f>SUM(D629:D637)</f>
        <v>39031.66667</v>
      </c>
      <c r="E638" s="155" t="s">
        <v>518</v>
      </c>
    </row>
    <row r="639" ht="14.25" customHeight="1"/>
    <row r="640" ht="14.25" customHeight="1">
      <c r="A640" s="147" t="s">
        <v>628</v>
      </c>
      <c r="B640" s="151">
        <f>IFERROR(D648/D640,0)</f>
        <v>22.35404339</v>
      </c>
      <c r="C640" s="152" t="s">
        <v>478</v>
      </c>
      <c r="D640" s="154">
        <f>SUM(B642:B647)</f>
        <v>507</v>
      </c>
      <c r="E640" s="155" t="s">
        <v>582</v>
      </c>
    </row>
    <row r="641" ht="14.25" customHeight="1">
      <c r="A641" s="156" t="s">
        <v>420</v>
      </c>
      <c r="B641" s="154" t="s">
        <v>482</v>
      </c>
      <c r="C641" s="154" t="s">
        <v>483</v>
      </c>
      <c r="D641" s="154" t="s">
        <v>484</v>
      </c>
      <c r="E641" s="155" t="s">
        <v>17</v>
      </c>
    </row>
    <row r="642" ht="14.25" customHeight="1">
      <c r="A642" s="14" t="s">
        <v>443</v>
      </c>
      <c r="B642" s="15">
        <v>100.0</v>
      </c>
      <c r="C642" s="17">
        <f>IFERROR(VLOOKUP(A642,'Market List'!$B:$F,5,FALSE),0)</f>
        <v>75</v>
      </c>
      <c r="D642" s="17">
        <f t="shared" ref="D642:D647" si="57">IFERROR(B642*C642,0)</f>
        <v>7500</v>
      </c>
      <c r="E642" s="24" t="s">
        <v>725</v>
      </c>
    </row>
    <row r="643" ht="14.25" customHeight="1">
      <c r="A643" s="25" t="s">
        <v>430</v>
      </c>
      <c r="B643" s="26">
        <v>300.0</v>
      </c>
      <c r="C643" s="28">
        <f>IFERROR(VLOOKUP(A643,'Market List'!$B:$F,5,FALSE),0)</f>
        <v>3.15</v>
      </c>
      <c r="D643" s="28">
        <f t="shared" si="57"/>
        <v>945</v>
      </c>
      <c r="E643" s="32"/>
    </row>
    <row r="644" ht="14.25" customHeight="1">
      <c r="A644" s="25" t="s">
        <v>436</v>
      </c>
      <c r="B644" s="26">
        <v>100.0</v>
      </c>
      <c r="C644" s="28">
        <f>IFERROR(VLOOKUP(A644,'Market List'!$B:$F,5,FALSE),0)</f>
        <v>18</v>
      </c>
      <c r="D644" s="28">
        <f t="shared" si="57"/>
        <v>1800</v>
      </c>
      <c r="E644" s="32"/>
    </row>
    <row r="645" ht="14.25" customHeight="1">
      <c r="A645" s="25" t="s">
        <v>433</v>
      </c>
      <c r="B645" s="26">
        <v>7.0</v>
      </c>
      <c r="C645" s="28">
        <f>IFERROR(VLOOKUP(A645,'Market List'!$B:$F,5,FALSE),0)</f>
        <v>155.5</v>
      </c>
      <c r="D645" s="28">
        <f t="shared" si="57"/>
        <v>1088.5</v>
      </c>
      <c r="E645" s="32"/>
    </row>
    <row r="646" ht="14.25" customHeight="1">
      <c r="A646" s="25"/>
      <c r="B646" s="26"/>
      <c r="C646" s="28"/>
      <c r="D646" s="28">
        <f t="shared" si="57"/>
        <v>0</v>
      </c>
      <c r="E646" s="32"/>
    </row>
    <row r="647" ht="14.25" customHeight="1">
      <c r="A647" s="36"/>
      <c r="B647" s="37"/>
      <c r="C647" s="38"/>
      <c r="D647" s="38">
        <f t="shared" si="57"/>
        <v>0</v>
      </c>
      <c r="E647" s="41"/>
    </row>
    <row r="648" ht="14.25" customHeight="1">
      <c r="A648" s="156" t="s">
        <v>515</v>
      </c>
      <c r="B648" s="154"/>
      <c r="C648" s="154"/>
      <c r="D648" s="181">
        <f>SUM(D642:D647)</f>
        <v>11333.5</v>
      </c>
      <c r="E648" s="155" t="s">
        <v>518</v>
      </c>
    </row>
    <row r="649" ht="14.25" customHeight="1"/>
    <row r="650" ht="14.25" customHeight="1">
      <c r="A650" s="147" t="s">
        <v>102</v>
      </c>
      <c r="B650" s="151">
        <f>IFERROR(D662/D650,0)</f>
        <v>80.31259017</v>
      </c>
      <c r="C650" s="152" t="s">
        <v>478</v>
      </c>
      <c r="D650" s="154">
        <f>SUM(B652:B661)*90%</f>
        <v>724.5</v>
      </c>
      <c r="E650" s="155" t="s">
        <v>582</v>
      </c>
    </row>
    <row r="651" ht="14.25" customHeight="1">
      <c r="A651" s="156" t="s">
        <v>420</v>
      </c>
      <c r="B651" s="154" t="s">
        <v>482</v>
      </c>
      <c r="C651" s="154" t="s">
        <v>483</v>
      </c>
      <c r="D651" s="154" t="s">
        <v>484</v>
      </c>
      <c r="E651" s="155" t="s">
        <v>17</v>
      </c>
    </row>
    <row r="652" ht="14.25" customHeight="1">
      <c r="A652" s="14" t="s">
        <v>465</v>
      </c>
      <c r="B652" s="15">
        <v>150.0</v>
      </c>
      <c r="C652" s="17">
        <f>IFERROR(VLOOKUP(A652,'Market List'!$B:$F,5,FALSE),0)</f>
        <v>75</v>
      </c>
      <c r="D652" s="17">
        <f t="shared" ref="D652:D661" si="58">IFERROR(B652*C652,0)</f>
        <v>11250</v>
      </c>
      <c r="E652" s="24" t="s">
        <v>726</v>
      </c>
    </row>
    <row r="653" ht="14.25" customHeight="1">
      <c r="A653" s="25" t="s">
        <v>434</v>
      </c>
      <c r="B653" s="26">
        <v>50.0</v>
      </c>
      <c r="C653" s="28">
        <f>IFERROR(VLOOKUP(A653,'Market List'!$B:$F,5,FALSE),0)</f>
        <v>138.7777778</v>
      </c>
      <c r="D653" s="28">
        <f t="shared" si="58"/>
        <v>6938.888889</v>
      </c>
      <c r="E653" s="32" t="s">
        <v>727</v>
      </c>
    </row>
    <row r="654" ht="14.25" customHeight="1">
      <c r="A654" s="25" t="s">
        <v>441</v>
      </c>
      <c r="B654" s="26">
        <v>65.0</v>
      </c>
      <c r="C654" s="28">
        <f>IFERROR(VLOOKUP(A654,'Market List'!$B:$F,5,FALSE),0)</f>
        <v>51.019</v>
      </c>
      <c r="D654" s="28">
        <f t="shared" si="58"/>
        <v>3316.235</v>
      </c>
      <c r="E654" s="32"/>
    </row>
    <row r="655" ht="14.25" customHeight="1">
      <c r="A655" s="25" t="s">
        <v>427</v>
      </c>
      <c r="B655" s="26">
        <v>10.0</v>
      </c>
      <c r="C655" s="28">
        <f>IFERROR(VLOOKUP(A655,'Market List'!$B:$F,5,FALSE),0)</f>
        <v>48.83333333</v>
      </c>
      <c r="D655" s="28">
        <f t="shared" si="58"/>
        <v>488.3333333</v>
      </c>
      <c r="E655" s="32"/>
    </row>
    <row r="656" ht="14.25" customHeight="1">
      <c r="A656" s="25" t="s">
        <v>436</v>
      </c>
      <c r="B656" s="26">
        <v>120.0</v>
      </c>
      <c r="C656" s="28">
        <f>IFERROR(VLOOKUP(A656,'Market List'!$B:$F,5,FALSE),0)</f>
        <v>18</v>
      </c>
      <c r="D656" s="28">
        <f t="shared" si="58"/>
        <v>2160</v>
      </c>
      <c r="E656" s="32"/>
    </row>
    <row r="657" ht="14.25" customHeight="1">
      <c r="A657" s="25" t="s">
        <v>398</v>
      </c>
      <c r="B657" s="26">
        <v>5.0</v>
      </c>
      <c r="C657" s="28">
        <f>IFERROR(VLOOKUP(A657,'Market List'!$B:$F,5,FALSE),0)</f>
        <v>43.18181818</v>
      </c>
      <c r="D657" s="28">
        <f t="shared" si="58"/>
        <v>215.9090909</v>
      </c>
      <c r="E657" s="32"/>
    </row>
    <row r="658" ht="14.25" customHeight="1">
      <c r="A658" s="25" t="s">
        <v>440</v>
      </c>
      <c r="B658" s="26">
        <v>5.0</v>
      </c>
      <c r="C658" s="28">
        <f>IFERROR(VLOOKUP(A658,'Market List'!$B:$F,5,FALSE),0)</f>
        <v>37</v>
      </c>
      <c r="D658" s="28">
        <f t="shared" si="58"/>
        <v>185</v>
      </c>
      <c r="E658" s="32"/>
    </row>
    <row r="659" ht="14.25" customHeight="1">
      <c r="A659" s="25" t="s">
        <v>374</v>
      </c>
      <c r="B659" s="26">
        <v>200.0</v>
      </c>
      <c r="C659" s="28">
        <f>IFERROR(VLOOKUP(A659,'Market List'!$B:$F,5,FALSE),0)</f>
        <v>140</v>
      </c>
      <c r="D659" s="28">
        <f t="shared" si="58"/>
        <v>28000</v>
      </c>
      <c r="E659" s="32"/>
    </row>
    <row r="660" ht="14.25" customHeight="1">
      <c r="A660" s="25" t="s">
        <v>466</v>
      </c>
      <c r="B660" s="26">
        <v>100.0</v>
      </c>
      <c r="C660" s="28">
        <f>IFERROR(VLOOKUP(A660,'Market List'!$B:$F,5,FALSE),0)</f>
        <v>38.42105263</v>
      </c>
      <c r="D660" s="28">
        <f t="shared" si="58"/>
        <v>3842.105263</v>
      </c>
      <c r="E660" s="32"/>
    </row>
    <row r="661" ht="14.25" customHeight="1">
      <c r="A661" s="36" t="s">
        <v>450</v>
      </c>
      <c r="B661" s="37">
        <v>100.0</v>
      </c>
      <c r="C661" s="38">
        <f>IFERROR(VLOOKUP(A661,'Market List'!$B:$F,5,FALSE),0)</f>
        <v>17.9</v>
      </c>
      <c r="D661" s="38">
        <f t="shared" si="58"/>
        <v>1790</v>
      </c>
      <c r="E661" s="41"/>
    </row>
    <row r="662" ht="14.25" customHeight="1">
      <c r="A662" s="156" t="s">
        <v>515</v>
      </c>
      <c r="B662" s="154"/>
      <c r="C662" s="154"/>
      <c r="D662" s="181">
        <f>SUM(D652:D661)</f>
        <v>58186.47158</v>
      </c>
      <c r="E662" s="155" t="s">
        <v>518</v>
      </c>
    </row>
    <row r="663" ht="14.25" customHeight="1"/>
    <row r="664" ht="14.25" customHeight="1">
      <c r="A664" s="147" t="s">
        <v>252</v>
      </c>
      <c r="B664" s="151">
        <f>IFERROR(D673/D664,0)</f>
        <v>49.44841124</v>
      </c>
      <c r="C664" s="152" t="s">
        <v>478</v>
      </c>
      <c r="D664" s="154">
        <f>SUM(B666:B672)</f>
        <v>429</v>
      </c>
      <c r="E664" s="155" t="s">
        <v>24</v>
      </c>
    </row>
    <row r="665" ht="14.25" customHeight="1">
      <c r="A665" s="156" t="s">
        <v>420</v>
      </c>
      <c r="B665" s="154" t="s">
        <v>482</v>
      </c>
      <c r="C665" s="154" t="s">
        <v>483</v>
      </c>
      <c r="D665" s="154" t="s">
        <v>484</v>
      </c>
      <c r="E665" s="155" t="s">
        <v>17</v>
      </c>
    </row>
    <row r="666" ht="14.25" customHeight="1">
      <c r="A666" s="14" t="s">
        <v>466</v>
      </c>
      <c r="B666" s="15">
        <v>350.0</v>
      </c>
      <c r="C666" s="17">
        <f>IFERROR(VLOOKUP(A666,'Market List'!$B:$F,5,FALSE),0)</f>
        <v>38.42105263</v>
      </c>
      <c r="D666" s="17">
        <f t="shared" ref="D666:D672" si="59">IFERROR(B666*C666,0)</f>
        <v>13447.36842</v>
      </c>
      <c r="E666" s="24"/>
    </row>
    <row r="667" ht="14.25" customHeight="1">
      <c r="A667" s="25" t="s">
        <v>547</v>
      </c>
      <c r="B667" s="26">
        <v>25.0</v>
      </c>
      <c r="C667" s="28">
        <f>IFERROR(VLOOKUP(A667,'Market List'!$B:$F,5,FALSE),0)</f>
        <v>75.5</v>
      </c>
      <c r="D667" s="28">
        <f t="shared" si="59"/>
        <v>1887.5</v>
      </c>
      <c r="E667" s="32"/>
    </row>
    <row r="668" ht="14.25" customHeight="1">
      <c r="A668" s="25" t="s">
        <v>425</v>
      </c>
      <c r="B668" s="26">
        <v>1.0</v>
      </c>
      <c r="C668" s="28">
        <f>IFERROR(VLOOKUP(A668,'Market List'!$B:$F,5,FALSE),0)</f>
        <v>16</v>
      </c>
      <c r="D668" s="28">
        <f t="shared" si="59"/>
        <v>16</v>
      </c>
      <c r="E668" s="32"/>
    </row>
    <row r="669" ht="14.25" customHeight="1">
      <c r="A669" s="25" t="s">
        <v>542</v>
      </c>
      <c r="B669" s="26">
        <v>20.0</v>
      </c>
      <c r="C669" s="28">
        <f>IFERROR(VLOOKUP(A669,'Market List'!$B:$F,5,FALSE),0)</f>
        <v>130</v>
      </c>
      <c r="D669" s="28">
        <f t="shared" si="59"/>
        <v>2600</v>
      </c>
      <c r="E669" s="32"/>
    </row>
    <row r="670" ht="14.25" customHeight="1">
      <c r="A670" s="25" t="s">
        <v>543</v>
      </c>
      <c r="B670" s="26">
        <v>25.0</v>
      </c>
      <c r="C670" s="28">
        <f>IFERROR(VLOOKUP(A670,'Market List'!$B:$F,5,FALSE),0)</f>
        <v>18</v>
      </c>
      <c r="D670" s="28">
        <f t="shared" si="59"/>
        <v>450</v>
      </c>
      <c r="E670" s="32"/>
    </row>
    <row r="671" ht="14.25" customHeight="1">
      <c r="A671" s="25" t="s">
        <v>548</v>
      </c>
      <c r="B671" s="26">
        <v>5.0</v>
      </c>
      <c r="C671" s="28">
        <f>IFERROR(VLOOKUP(A671,'Market List'!$B:$F,5,FALSE),0)</f>
        <v>22.5</v>
      </c>
      <c r="D671" s="28">
        <f t="shared" si="59"/>
        <v>112.5</v>
      </c>
      <c r="E671" s="32"/>
    </row>
    <row r="672" ht="14.25" customHeight="1">
      <c r="A672" s="36" t="s">
        <v>551</v>
      </c>
      <c r="B672" s="37">
        <v>3.0</v>
      </c>
      <c r="C672" s="38">
        <f>IFERROR(VLOOKUP(A672,'Market List'!$B:$F,5,FALSE),0)</f>
        <v>900</v>
      </c>
      <c r="D672" s="38">
        <f t="shared" si="59"/>
        <v>2700</v>
      </c>
      <c r="E672" s="41"/>
    </row>
    <row r="673" ht="14.25" customHeight="1">
      <c r="A673" s="156" t="s">
        <v>515</v>
      </c>
      <c r="B673" s="154"/>
      <c r="C673" s="154"/>
      <c r="D673" s="181">
        <f>SUM(D666:D672)</f>
        <v>21213.36842</v>
      </c>
      <c r="E673" s="155" t="s">
        <v>728</v>
      </c>
    </row>
    <row r="674" ht="14.25" customHeight="1"/>
    <row r="675" ht="14.25" customHeight="1">
      <c r="A675" s="147" t="s">
        <v>629</v>
      </c>
      <c r="B675" s="151">
        <f>IFERROR(D689/D675,0)</f>
        <v>39.785687</v>
      </c>
      <c r="C675" s="152" t="s">
        <v>478</v>
      </c>
      <c r="D675" s="154">
        <f>SUM(B677:B688)</f>
        <v>3291</v>
      </c>
      <c r="E675" s="155" t="s">
        <v>582</v>
      </c>
    </row>
    <row r="676" ht="14.25" customHeight="1">
      <c r="A676" s="156" t="s">
        <v>420</v>
      </c>
      <c r="B676" s="154" t="s">
        <v>482</v>
      </c>
      <c r="C676" s="154" t="s">
        <v>483</v>
      </c>
      <c r="D676" s="154" t="s">
        <v>484</v>
      </c>
      <c r="E676" s="155" t="s">
        <v>17</v>
      </c>
    </row>
    <row r="677" ht="14.25" customHeight="1">
      <c r="A677" s="14" t="s">
        <v>443</v>
      </c>
      <c r="B677" s="15">
        <v>900.0</v>
      </c>
      <c r="C677" s="17">
        <f>IFERROR(VLOOKUP(A677,'Market List'!$B:$F,5,FALSE),0)</f>
        <v>75</v>
      </c>
      <c r="D677" s="17">
        <f t="shared" ref="D677:D688" si="60">IFERROR(B677*C677,0)</f>
        <v>67500</v>
      </c>
      <c r="E677" s="24" t="s">
        <v>729</v>
      </c>
    </row>
    <row r="678" ht="14.25" customHeight="1">
      <c r="A678" s="25" t="s">
        <v>428</v>
      </c>
      <c r="B678" s="26">
        <v>800.0</v>
      </c>
      <c r="C678" s="28">
        <f>IFERROR(VLOOKUP(A678,'Market List'!$B:$F,5,FALSE),0)</f>
        <v>18</v>
      </c>
      <c r="D678" s="28">
        <f t="shared" si="60"/>
        <v>14400</v>
      </c>
      <c r="E678" s="32" t="s">
        <v>730</v>
      </c>
    </row>
    <row r="679" ht="14.25" customHeight="1">
      <c r="A679" s="25" t="s">
        <v>467</v>
      </c>
      <c r="B679" s="26">
        <v>50.0</v>
      </c>
      <c r="C679" s="28">
        <f>IFERROR(VLOOKUP(A679,'Market List'!$B:$F,5,FALSE),0)</f>
        <v>24</v>
      </c>
      <c r="D679" s="28">
        <f t="shared" si="60"/>
        <v>1200</v>
      </c>
      <c r="E679" s="32" t="s">
        <v>731</v>
      </c>
    </row>
    <row r="680" ht="14.25" customHeight="1">
      <c r="A680" s="25" t="s">
        <v>430</v>
      </c>
      <c r="B680" s="26">
        <v>550.0</v>
      </c>
      <c r="C680" s="28">
        <f>IFERROR(VLOOKUP(A680,'Market List'!$B:$F,5,FALSE),0)</f>
        <v>3.15</v>
      </c>
      <c r="D680" s="28">
        <f t="shared" si="60"/>
        <v>1732.5</v>
      </c>
      <c r="E680" s="32"/>
    </row>
    <row r="681" ht="14.25" customHeight="1">
      <c r="A681" s="25" t="s">
        <v>468</v>
      </c>
      <c r="B681" s="26">
        <v>550.0</v>
      </c>
      <c r="C681" s="28">
        <f>IFERROR(VLOOKUP(A681,'Market List'!$B:$F,5,FALSE),0)</f>
        <v>43</v>
      </c>
      <c r="D681" s="28">
        <f t="shared" si="60"/>
        <v>23650</v>
      </c>
      <c r="E681" s="32" t="s">
        <v>732</v>
      </c>
    </row>
    <row r="682" ht="14.25" customHeight="1">
      <c r="A682" s="25" t="s">
        <v>469</v>
      </c>
      <c r="B682" s="26">
        <v>60.0</v>
      </c>
      <c r="C682" s="28">
        <f>IFERROR(VLOOKUP(A682,'Market List'!$B:$F,5,FALSE),0)</f>
        <v>42.79</v>
      </c>
      <c r="D682" s="28">
        <f t="shared" si="60"/>
        <v>2567.4</v>
      </c>
      <c r="E682" s="32" t="s">
        <v>667</v>
      </c>
    </row>
    <row r="683" ht="14.25" customHeight="1">
      <c r="A683" s="25" t="s">
        <v>427</v>
      </c>
      <c r="B683" s="26">
        <v>160.0</v>
      </c>
      <c r="C683" s="28">
        <f>IFERROR(VLOOKUP(A683,'Market List'!$B:$F,5,FALSE),0)</f>
        <v>48.83333333</v>
      </c>
      <c r="D683" s="28">
        <f t="shared" si="60"/>
        <v>7813.333333</v>
      </c>
      <c r="E683" s="32"/>
    </row>
    <row r="684" ht="14.25" customHeight="1">
      <c r="A684" s="25" t="s">
        <v>470</v>
      </c>
      <c r="B684" s="26">
        <v>100.0</v>
      </c>
      <c r="C684" s="28">
        <f>IFERROR(VLOOKUP(A684,'Market List'!$B:$F,5,FALSE),0)</f>
        <v>62.90322581</v>
      </c>
      <c r="D684" s="28">
        <f t="shared" si="60"/>
        <v>6290.322581</v>
      </c>
      <c r="E684" s="32"/>
    </row>
    <row r="685" ht="14.25" customHeight="1">
      <c r="A685" s="25" t="s">
        <v>265</v>
      </c>
      <c r="B685" s="26">
        <v>60.0</v>
      </c>
      <c r="C685" s="28">
        <f>IFERROR(VLOOKUP(A685,'Market List'!$B:$F,5,FALSE),0)</f>
        <v>51.019</v>
      </c>
      <c r="D685" s="28">
        <f t="shared" si="60"/>
        <v>3061.14</v>
      </c>
      <c r="E685" s="32"/>
    </row>
    <row r="686" ht="14.25" customHeight="1">
      <c r="A686" s="25" t="s">
        <v>437</v>
      </c>
      <c r="B686" s="26">
        <v>30.0</v>
      </c>
      <c r="C686" s="28">
        <f>IFERROR(VLOOKUP(A686,'Market List'!$B:$F,5,FALSE),0)</f>
        <v>45</v>
      </c>
      <c r="D686" s="28">
        <f t="shared" si="60"/>
        <v>1350</v>
      </c>
      <c r="E686" s="32" t="s">
        <v>733</v>
      </c>
    </row>
    <row r="687" ht="14.25" customHeight="1">
      <c r="A687" s="25" t="s">
        <v>103</v>
      </c>
      <c r="B687" s="26">
        <v>30.0</v>
      </c>
      <c r="C687" s="28">
        <f>IFERROR(VLOOKUP(A687,'Market List'!$B:$F,5,FALSE),0)</f>
        <v>35</v>
      </c>
      <c r="D687" s="28">
        <f t="shared" si="60"/>
        <v>1050</v>
      </c>
      <c r="E687" s="32" t="s">
        <v>733</v>
      </c>
    </row>
    <row r="688" ht="14.25" customHeight="1">
      <c r="A688" s="36" t="s">
        <v>471</v>
      </c>
      <c r="B688" s="37">
        <v>1.0</v>
      </c>
      <c r="C688" s="38">
        <f>IFERROR(VLOOKUP(A688,'Market List'!$B:$F,5,FALSE),0)</f>
        <v>320</v>
      </c>
      <c r="D688" s="38">
        <f t="shared" si="60"/>
        <v>320</v>
      </c>
      <c r="E688" s="41"/>
    </row>
    <row r="689" ht="14.25" customHeight="1">
      <c r="A689" s="156" t="s">
        <v>515</v>
      </c>
      <c r="B689" s="154"/>
      <c r="C689" s="154"/>
      <c r="D689" s="181">
        <f>SUM(D677:D688)</f>
        <v>130934.6959</v>
      </c>
      <c r="E689" s="155" t="s">
        <v>518</v>
      </c>
    </row>
    <row r="690" ht="14.25" customHeight="1"/>
    <row r="691" ht="14.25" customHeight="1">
      <c r="A691" s="147" t="s">
        <v>43</v>
      </c>
      <c r="B691" s="151">
        <f>IFERROR(D700/D691,0)</f>
        <v>76.56455142</v>
      </c>
      <c r="C691" s="152" t="s">
        <v>478</v>
      </c>
      <c r="D691" s="154">
        <f>SUM(B693:B699)</f>
        <v>457</v>
      </c>
      <c r="E691" s="155" t="s">
        <v>582</v>
      </c>
    </row>
    <row r="692" ht="14.25" customHeight="1">
      <c r="A692" s="156" t="s">
        <v>420</v>
      </c>
      <c r="B692" s="154" t="s">
        <v>482</v>
      </c>
      <c r="C692" s="154" t="s">
        <v>483</v>
      </c>
      <c r="D692" s="154" t="s">
        <v>484</v>
      </c>
      <c r="E692" s="155" t="s">
        <v>17</v>
      </c>
    </row>
    <row r="693" ht="14.25" customHeight="1">
      <c r="A693" s="14" t="s">
        <v>374</v>
      </c>
      <c r="B693" s="15">
        <v>190.0</v>
      </c>
      <c r="C693" s="17">
        <f>IFERROR(VLOOKUP(A693,'Market List'!$B:$F,5,FALSE),0)</f>
        <v>140</v>
      </c>
      <c r="D693" s="17">
        <f t="shared" ref="D693:D699" si="61">IFERROR(B693*C693,0)</f>
        <v>26600</v>
      </c>
      <c r="E693" s="24" t="s">
        <v>734</v>
      </c>
    </row>
    <row r="694" ht="14.25" customHeight="1">
      <c r="A694" s="25" t="s">
        <v>433</v>
      </c>
      <c r="B694" s="26">
        <v>13.0</v>
      </c>
      <c r="C694" s="28">
        <f>IFERROR(VLOOKUP(A694,'Market List'!$B:$F,5,FALSE),0)</f>
        <v>155.5</v>
      </c>
      <c r="D694" s="28">
        <f t="shared" si="61"/>
        <v>2021.5</v>
      </c>
      <c r="E694" s="32" t="s">
        <v>735</v>
      </c>
    </row>
    <row r="695" ht="14.25" customHeight="1">
      <c r="A695" s="25" t="s">
        <v>367</v>
      </c>
      <c r="B695" s="26">
        <v>3.0</v>
      </c>
      <c r="C695" s="28">
        <f>IFERROR(VLOOKUP(A695,'Market List'!$B:$F,5,FALSE),0)</f>
        <v>200</v>
      </c>
      <c r="D695" s="28">
        <f t="shared" si="61"/>
        <v>600</v>
      </c>
      <c r="E695" s="32" t="s">
        <v>736</v>
      </c>
    </row>
    <row r="696" ht="14.25" customHeight="1">
      <c r="A696" s="25" t="s">
        <v>536</v>
      </c>
      <c r="B696" s="26">
        <v>65.0</v>
      </c>
      <c r="C696" s="28">
        <f>IFERROR(VLOOKUP(A696,'Market List'!$B:$F,5,FALSE),0)</f>
        <v>46.5</v>
      </c>
      <c r="D696" s="28">
        <f t="shared" si="61"/>
        <v>3022.5</v>
      </c>
      <c r="E696" s="32"/>
    </row>
    <row r="697" ht="14.25" customHeight="1">
      <c r="A697" s="25" t="s">
        <v>537</v>
      </c>
      <c r="B697" s="26">
        <v>170.0</v>
      </c>
      <c r="C697" s="28">
        <f>IFERROR(VLOOKUP(A697,'Market List'!$B:$F,5,FALSE),0)</f>
        <v>0</v>
      </c>
      <c r="D697" s="28">
        <f t="shared" si="61"/>
        <v>0</v>
      </c>
      <c r="E697" s="32"/>
    </row>
    <row r="698" ht="14.25" customHeight="1">
      <c r="A698" s="25" t="s">
        <v>44</v>
      </c>
      <c r="B698" s="26">
        <v>1.0</v>
      </c>
      <c r="C698" s="28">
        <f>IFERROR(VLOOKUP(A698,'Market List'!$B:$F,5,FALSE),0)</f>
        <v>496</v>
      </c>
      <c r="D698" s="28">
        <f t="shared" si="61"/>
        <v>496</v>
      </c>
      <c r="E698" s="32"/>
    </row>
    <row r="699" ht="14.25" customHeight="1">
      <c r="A699" s="36" t="s">
        <v>737</v>
      </c>
      <c r="B699" s="37">
        <v>15.0</v>
      </c>
      <c r="C699" s="38">
        <f>IFERROR(VLOOKUP(A699,'Market List'!$B:$F,5,FALSE),0)</f>
        <v>150</v>
      </c>
      <c r="D699" s="38">
        <f t="shared" si="61"/>
        <v>2250</v>
      </c>
      <c r="E699" s="41"/>
    </row>
    <row r="700" ht="14.25" customHeight="1">
      <c r="A700" s="156" t="s">
        <v>515</v>
      </c>
      <c r="B700" s="154"/>
      <c r="C700" s="154"/>
      <c r="D700" s="181">
        <f>SUM(D693:D699)</f>
        <v>34990</v>
      </c>
      <c r="E700" s="155" t="s">
        <v>518</v>
      </c>
    </row>
    <row r="701" ht="14.25" customHeight="1"/>
    <row r="702" ht="14.25" customHeight="1">
      <c r="A702" s="147" t="s">
        <v>631</v>
      </c>
      <c r="B702" s="151">
        <f>IFERROR(D710/D702,0)</f>
        <v>211.7738095</v>
      </c>
      <c r="C702" s="152" t="s">
        <v>478</v>
      </c>
      <c r="D702" s="154">
        <f>SUM(B704:B709)</f>
        <v>350</v>
      </c>
      <c r="E702" s="155" t="s">
        <v>582</v>
      </c>
    </row>
    <row r="703" ht="14.25" customHeight="1">
      <c r="A703" s="156" t="s">
        <v>420</v>
      </c>
      <c r="B703" s="154" t="s">
        <v>482</v>
      </c>
      <c r="C703" s="154" t="s">
        <v>483</v>
      </c>
      <c r="D703" s="154" t="s">
        <v>484</v>
      </c>
      <c r="E703" s="155" t="s">
        <v>17</v>
      </c>
    </row>
    <row r="704" ht="14.25" customHeight="1">
      <c r="A704" s="14" t="s">
        <v>491</v>
      </c>
      <c r="B704" s="15">
        <v>100.0</v>
      </c>
      <c r="C704" s="17">
        <f>IFERROR(VLOOKUP(A704,'Market List'!$B:$F,5,FALSE),0)</f>
        <v>733.3333333</v>
      </c>
      <c r="D704" s="17">
        <f t="shared" ref="D704:D709" si="62">IFERROR(B704*C704,0)</f>
        <v>73333.33333</v>
      </c>
      <c r="E704" s="24" t="s">
        <v>738</v>
      </c>
    </row>
    <row r="705" ht="14.25" customHeight="1">
      <c r="A705" s="25" t="s">
        <v>493</v>
      </c>
      <c r="B705" s="26">
        <v>250.0</v>
      </c>
      <c r="C705" s="28">
        <f>IFERROR(VLOOKUP(A705,'Market List'!$B:$F,5,FALSE),0)</f>
        <v>3.15</v>
      </c>
      <c r="D705" s="28">
        <f t="shared" si="62"/>
        <v>787.5</v>
      </c>
      <c r="E705" s="32"/>
    </row>
    <row r="706" ht="14.25" customHeight="1">
      <c r="A706" s="25"/>
      <c r="B706" s="26"/>
      <c r="C706" s="28"/>
      <c r="D706" s="28">
        <f t="shared" si="62"/>
        <v>0</v>
      </c>
      <c r="E706" s="32"/>
    </row>
    <row r="707" ht="14.25" customHeight="1">
      <c r="A707" s="25"/>
      <c r="B707" s="26"/>
      <c r="C707" s="28"/>
      <c r="D707" s="28">
        <f t="shared" si="62"/>
        <v>0</v>
      </c>
      <c r="E707" s="32"/>
    </row>
    <row r="708" ht="14.25" customHeight="1">
      <c r="A708" s="25"/>
      <c r="B708" s="26"/>
      <c r="C708" s="28"/>
      <c r="D708" s="28">
        <f t="shared" si="62"/>
        <v>0</v>
      </c>
      <c r="E708" s="32"/>
    </row>
    <row r="709" ht="14.25" customHeight="1">
      <c r="A709" s="36"/>
      <c r="B709" s="37"/>
      <c r="C709" s="38"/>
      <c r="D709" s="38">
        <f t="shared" si="62"/>
        <v>0</v>
      </c>
      <c r="E709" s="41"/>
    </row>
    <row r="710" ht="14.25" customHeight="1">
      <c r="A710" s="156" t="s">
        <v>515</v>
      </c>
      <c r="B710" s="154"/>
      <c r="C710" s="154"/>
      <c r="D710" s="181">
        <f>SUM(D704:D709)</f>
        <v>74120.83333</v>
      </c>
      <c r="E710" s="155" t="s">
        <v>518</v>
      </c>
    </row>
    <row r="711" ht="14.25" customHeight="1"/>
    <row r="712" ht="14.25" customHeight="1">
      <c r="A712" s="147" t="s">
        <v>231</v>
      </c>
      <c r="B712" s="151">
        <f>IFERROR(D721/D712,0)</f>
        <v>2525.541551</v>
      </c>
      <c r="C712" s="152" t="s">
        <v>478</v>
      </c>
      <c r="D712" s="154">
        <v>19.0</v>
      </c>
      <c r="E712" s="155" t="s">
        <v>22</v>
      </c>
    </row>
    <row r="713" ht="14.25" customHeight="1">
      <c r="A713" s="156" t="s">
        <v>420</v>
      </c>
      <c r="B713" s="154" t="s">
        <v>482</v>
      </c>
      <c r="C713" s="154" t="s">
        <v>483</v>
      </c>
      <c r="D713" s="154" t="s">
        <v>484</v>
      </c>
      <c r="E713" s="155" t="s">
        <v>17</v>
      </c>
    </row>
    <row r="714" ht="14.25" customHeight="1">
      <c r="A714" s="14" t="s">
        <v>560</v>
      </c>
      <c r="B714" s="15">
        <v>463.0</v>
      </c>
      <c r="C714" s="17">
        <f>IFERROR(VLOOKUP(A714,'Market List'!$B:$F,5,FALSE),0)</f>
        <v>13.5</v>
      </c>
      <c r="D714" s="17">
        <f t="shared" ref="D714:D720" si="63">IFERROR(B714*C714,0)</f>
        <v>6250.5</v>
      </c>
      <c r="E714" s="24"/>
    </row>
    <row r="715" ht="14.25" customHeight="1">
      <c r="A715" s="25" t="s">
        <v>561</v>
      </c>
      <c r="B715" s="26">
        <v>231.0</v>
      </c>
      <c r="C715" s="28">
        <f>IFERROR(VLOOKUP(A715,'Market List'!$B:$F,5,FALSE),0)</f>
        <v>25</v>
      </c>
      <c r="D715" s="28">
        <f t="shared" si="63"/>
        <v>5775</v>
      </c>
      <c r="E715" s="32"/>
    </row>
    <row r="716" ht="14.25" customHeight="1">
      <c r="A716" s="25" t="s">
        <v>466</v>
      </c>
      <c r="B716" s="26">
        <v>47.0</v>
      </c>
      <c r="C716" s="28">
        <f>IFERROR(VLOOKUP(A716,'Market List'!$B:$F,5,FALSE),0)</f>
        <v>38.42105263</v>
      </c>
      <c r="D716" s="28">
        <f t="shared" si="63"/>
        <v>1805.789474</v>
      </c>
      <c r="E716" s="32"/>
    </row>
    <row r="717" ht="14.25" customHeight="1">
      <c r="A717" s="25" t="s">
        <v>563</v>
      </c>
      <c r="B717" s="26">
        <v>5.0</v>
      </c>
      <c r="C717" s="28">
        <f>IFERROR(VLOOKUP(A717,'Market List'!$B:$F,5,FALSE),0)</f>
        <v>100</v>
      </c>
      <c r="D717" s="28">
        <f t="shared" si="63"/>
        <v>500</v>
      </c>
      <c r="E717" s="32"/>
    </row>
    <row r="718" ht="14.25" customHeight="1">
      <c r="A718" s="25" t="s">
        <v>543</v>
      </c>
      <c r="B718" s="26">
        <v>65.0</v>
      </c>
      <c r="C718" s="28">
        <f>IFERROR(VLOOKUP(A718,'Market List'!$B:$F,5,FALSE),0)</f>
        <v>18</v>
      </c>
      <c r="D718" s="28">
        <f t="shared" si="63"/>
        <v>1170</v>
      </c>
      <c r="E718" s="32"/>
    </row>
    <row r="719" ht="14.25" customHeight="1">
      <c r="A719" s="25" t="s">
        <v>425</v>
      </c>
      <c r="B719" s="26">
        <v>9.0</v>
      </c>
      <c r="C719" s="28">
        <f>IFERROR(VLOOKUP(A719,'Market List'!$B:$F,5,FALSE),0)</f>
        <v>16</v>
      </c>
      <c r="D719" s="28">
        <f t="shared" si="63"/>
        <v>144</v>
      </c>
      <c r="E719" s="32"/>
    </row>
    <row r="720" ht="14.25" customHeight="1">
      <c r="A720" s="36" t="s">
        <v>352</v>
      </c>
      <c r="B720" s="37">
        <v>231.0</v>
      </c>
      <c r="C720" s="38">
        <f>IFERROR(VLOOKUP(A720,'Market List'!$B:$F,5,FALSE),0)</f>
        <v>140</v>
      </c>
      <c r="D720" s="38">
        <f t="shared" si="63"/>
        <v>32340</v>
      </c>
      <c r="E720" s="41"/>
    </row>
    <row r="721" ht="14.25" customHeight="1">
      <c r="A721" s="156" t="s">
        <v>515</v>
      </c>
      <c r="B721" s="154"/>
      <c r="C721" s="154"/>
      <c r="D721" s="181">
        <f>SUM(D714:D720)</f>
        <v>47985.28947</v>
      </c>
      <c r="E721" s="155"/>
    </row>
    <row r="722" ht="14.25" customHeight="1"/>
    <row r="723" ht="14.25" customHeight="1">
      <c r="A723" s="147" t="s">
        <v>275</v>
      </c>
      <c r="B723" s="151">
        <f>IFERROR(D732/D723,0)</f>
        <v>2999.080592</v>
      </c>
      <c r="C723" s="152" t="s">
        <v>478</v>
      </c>
      <c r="D723" s="154">
        <v>16.0</v>
      </c>
      <c r="E723" s="155" t="s">
        <v>739</v>
      </c>
    </row>
    <row r="724" ht="14.25" customHeight="1">
      <c r="A724" s="156" t="s">
        <v>420</v>
      </c>
      <c r="B724" s="154" t="s">
        <v>482</v>
      </c>
      <c r="C724" s="154" t="s">
        <v>483</v>
      </c>
      <c r="D724" s="154" t="s">
        <v>484</v>
      </c>
      <c r="E724" s="155" t="s">
        <v>17</v>
      </c>
    </row>
    <row r="725" ht="14.25" customHeight="1">
      <c r="A725" s="14" t="s">
        <v>560</v>
      </c>
      <c r="B725" s="15">
        <v>463.0</v>
      </c>
      <c r="C725" s="17">
        <f>IFERROR(VLOOKUP(A725,'Market List'!$B:$F,5,FALSE),0)</f>
        <v>13.5</v>
      </c>
      <c r="D725" s="17">
        <f t="shared" ref="D725:D731" si="64">IFERROR(B725*C725,0)</f>
        <v>6250.5</v>
      </c>
      <c r="E725" s="24"/>
    </row>
    <row r="726" ht="14.25" customHeight="1">
      <c r="A726" s="25" t="s">
        <v>561</v>
      </c>
      <c r="B726" s="26">
        <v>231.0</v>
      </c>
      <c r="C726" s="28">
        <f>IFERROR(VLOOKUP(A726,'Market List'!$B:$F,5,FALSE),0)</f>
        <v>25</v>
      </c>
      <c r="D726" s="28">
        <f t="shared" si="64"/>
        <v>5775</v>
      </c>
      <c r="E726" s="32"/>
    </row>
    <row r="727" ht="14.25" customHeight="1">
      <c r="A727" s="25" t="s">
        <v>466</v>
      </c>
      <c r="B727" s="26">
        <v>47.0</v>
      </c>
      <c r="C727" s="28">
        <f>IFERROR(VLOOKUP(A727,'Market List'!$B:$F,5,FALSE),0)</f>
        <v>38.42105263</v>
      </c>
      <c r="D727" s="28">
        <f t="shared" si="64"/>
        <v>1805.789474</v>
      </c>
      <c r="E727" s="32"/>
    </row>
    <row r="728" ht="14.25" customHeight="1">
      <c r="A728" s="25" t="s">
        <v>563</v>
      </c>
      <c r="B728" s="26">
        <v>5.0</v>
      </c>
      <c r="C728" s="28">
        <f>IFERROR(VLOOKUP(A728,'Market List'!$B:$F,5,FALSE),0)</f>
        <v>100</v>
      </c>
      <c r="D728" s="28">
        <f t="shared" si="64"/>
        <v>500</v>
      </c>
      <c r="E728" s="32"/>
    </row>
    <row r="729" ht="14.25" customHeight="1">
      <c r="A729" s="25" t="s">
        <v>543</v>
      </c>
      <c r="B729" s="26">
        <v>65.0</v>
      </c>
      <c r="C729" s="28">
        <f>IFERROR(VLOOKUP(A729,'Market List'!$B:$F,5,FALSE),0)</f>
        <v>18</v>
      </c>
      <c r="D729" s="28">
        <f t="shared" si="64"/>
        <v>1170</v>
      </c>
      <c r="E729" s="32"/>
    </row>
    <row r="730" ht="14.25" customHeight="1">
      <c r="A730" s="25" t="s">
        <v>425</v>
      </c>
      <c r="B730" s="26">
        <v>9.0</v>
      </c>
      <c r="C730" s="28">
        <f>IFERROR(VLOOKUP(A730,'Market List'!$B:$F,5,FALSE),0)</f>
        <v>16</v>
      </c>
      <c r="D730" s="28">
        <f t="shared" si="64"/>
        <v>144</v>
      </c>
      <c r="E730" s="32"/>
    </row>
    <row r="731" ht="14.25" customHeight="1">
      <c r="A731" s="36" t="s">
        <v>352</v>
      </c>
      <c r="B731" s="37">
        <v>231.0</v>
      </c>
      <c r="C731" s="38">
        <f>IFERROR(VLOOKUP(A731,'Market List'!$B:$F,5,FALSE),0)</f>
        <v>140</v>
      </c>
      <c r="D731" s="38">
        <f t="shared" si="64"/>
        <v>32340</v>
      </c>
      <c r="E731" s="41"/>
    </row>
    <row r="732" ht="14.25" customHeight="1">
      <c r="A732" s="156" t="s">
        <v>515</v>
      </c>
      <c r="B732" s="154"/>
      <c r="C732" s="154"/>
      <c r="D732" s="181">
        <f>SUM(D725:D731)</f>
        <v>47985.28947</v>
      </c>
      <c r="E732" s="155" t="s">
        <v>580</v>
      </c>
    </row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</cols>
  <sheetData>
    <row r="1">
      <c r="A1" s="141" t="s">
        <v>324</v>
      </c>
      <c r="B1" s="2"/>
      <c r="C1" s="2"/>
      <c r="D1" s="2"/>
      <c r="E1" s="2"/>
      <c r="F1" s="2"/>
      <c r="G1" s="3"/>
    </row>
    <row r="2">
      <c r="A2" s="142" t="s">
        <v>473</v>
      </c>
    </row>
    <row r="3" ht="14.25" customHeight="1">
      <c r="A3" s="143" t="s">
        <v>8</v>
      </c>
      <c r="B3" s="146" t="s">
        <v>10</v>
      </c>
      <c r="C3" s="146" t="s">
        <v>12</v>
      </c>
      <c r="D3" s="146" t="s">
        <v>13</v>
      </c>
      <c r="E3" s="146" t="s">
        <v>16</v>
      </c>
      <c r="F3" s="146" t="s">
        <v>17</v>
      </c>
      <c r="G3" s="148" t="s">
        <v>18</v>
      </c>
    </row>
    <row r="4" ht="14.25" customHeight="1">
      <c r="A4" s="149" t="s">
        <v>476</v>
      </c>
      <c r="B4" s="150" t="s">
        <v>24</v>
      </c>
      <c r="C4" s="153">
        <f>IFERROR(VLOOKUP(A4,'Market List'!$B:$F,5,FALSE),0)</f>
        <v>0</v>
      </c>
      <c r="D4" s="150">
        <v>20.0</v>
      </c>
      <c r="E4" s="150">
        <f t="shared" ref="E4:E7" si="1">C4*D4</f>
        <v>0</v>
      </c>
      <c r="F4" s="157"/>
      <c r="G4" s="158"/>
    </row>
    <row r="5" ht="14.25" customHeight="1">
      <c r="A5" s="149" t="s">
        <v>485</v>
      </c>
      <c r="B5" s="150" t="s">
        <v>24</v>
      </c>
      <c r="C5" s="153">
        <f>IFERROR(VLOOKUP(A5,'Market List'!$B:$F,5,FALSE),0)</f>
        <v>0</v>
      </c>
      <c r="D5" s="150">
        <v>10.0</v>
      </c>
      <c r="E5" s="150">
        <f t="shared" si="1"/>
        <v>0</v>
      </c>
      <c r="F5" s="157"/>
      <c r="G5" s="158"/>
    </row>
    <row r="6" ht="14.25" customHeight="1">
      <c r="A6" s="149" t="s">
        <v>488</v>
      </c>
      <c r="B6" s="150" t="s">
        <v>24</v>
      </c>
      <c r="C6" s="153">
        <f>IFERROR(VLOOKUP(A6,'Market List'!$B:$F,5,FALSE),0)</f>
        <v>0</v>
      </c>
      <c r="D6" s="150">
        <v>5.0</v>
      </c>
      <c r="E6" s="150">
        <f t="shared" si="1"/>
        <v>0</v>
      </c>
      <c r="F6" s="157"/>
      <c r="G6" s="158"/>
    </row>
    <row r="7" ht="14.25" customHeight="1">
      <c r="A7" s="149" t="s">
        <v>490</v>
      </c>
      <c r="B7" s="150" t="s">
        <v>24</v>
      </c>
      <c r="C7" s="153">
        <f>IFERROR(VLOOKUP(A7,'Market List'!$B:$F,5,FALSE),0)</f>
        <v>0</v>
      </c>
      <c r="D7" s="150">
        <v>180.0</v>
      </c>
      <c r="E7" s="150">
        <f t="shared" si="1"/>
        <v>0</v>
      </c>
      <c r="F7" s="157"/>
      <c r="G7" s="158"/>
    </row>
    <row r="8" ht="14.25" customHeight="1">
      <c r="A8" s="159"/>
      <c r="B8" s="160"/>
      <c r="C8" s="160"/>
      <c r="D8" s="160"/>
      <c r="E8" s="160"/>
      <c r="F8" s="157"/>
      <c r="G8" s="158"/>
    </row>
    <row r="9" ht="14.25" customHeight="1">
      <c r="A9" s="159"/>
      <c r="B9" s="160"/>
      <c r="C9" s="160"/>
      <c r="D9" s="160"/>
      <c r="E9" s="160"/>
      <c r="F9" s="157"/>
      <c r="G9" s="158"/>
    </row>
    <row r="10" ht="14.25" customHeight="1">
      <c r="A10" s="159"/>
      <c r="B10" s="160"/>
      <c r="C10" s="160"/>
      <c r="D10" s="160"/>
      <c r="E10" s="160"/>
      <c r="F10" s="157"/>
      <c r="G10" s="158"/>
    </row>
    <row r="11" ht="14.25" customHeight="1">
      <c r="A11" s="159"/>
      <c r="B11" s="160"/>
      <c r="C11" s="160"/>
      <c r="D11" s="160"/>
      <c r="E11" s="160"/>
      <c r="F11" s="157"/>
      <c r="G11" s="158"/>
    </row>
    <row r="12" ht="14.25" customHeight="1">
      <c r="A12" s="161" t="s">
        <v>62</v>
      </c>
      <c r="B12" s="162"/>
      <c r="C12" s="162"/>
      <c r="D12" s="162"/>
      <c r="E12" s="163"/>
      <c r="F12" s="164"/>
      <c r="G12" s="165"/>
    </row>
    <row r="13" ht="14.25" customHeight="1">
      <c r="A13" s="166" t="s">
        <v>64</v>
      </c>
      <c r="B13" s="167"/>
      <c r="C13" s="167"/>
      <c r="D13" s="167"/>
      <c r="E13" s="168">
        <f>sum(E4:E12)</f>
        <v>0</v>
      </c>
      <c r="F13" s="169" t="s">
        <v>502</v>
      </c>
      <c r="G13" s="170"/>
    </row>
    <row r="14" ht="14.25" customHeight="1">
      <c r="A14" s="166" t="s">
        <v>67</v>
      </c>
      <c r="B14" s="167"/>
      <c r="C14" s="167"/>
      <c r="D14" s="167"/>
      <c r="E14" s="168">
        <f>E13*15%</f>
        <v>0</v>
      </c>
      <c r="F14" s="169" t="s">
        <v>69</v>
      </c>
      <c r="G14" s="170"/>
    </row>
    <row r="15" ht="14.25" customHeight="1">
      <c r="A15" s="166" t="s">
        <v>70</v>
      </c>
      <c r="B15" s="167"/>
      <c r="C15" s="167"/>
      <c r="D15" s="167"/>
      <c r="E15" s="168">
        <f>E13+E14</f>
        <v>0</v>
      </c>
      <c r="F15" s="167"/>
      <c r="G15" s="170"/>
    </row>
    <row r="16" ht="14.25" customHeight="1">
      <c r="A16" s="166" t="s">
        <v>71</v>
      </c>
      <c r="B16" s="167"/>
      <c r="C16" s="167"/>
      <c r="D16" s="167"/>
      <c r="E16" s="168">
        <f>E18-E15</f>
        <v>0</v>
      </c>
      <c r="F16" s="167"/>
      <c r="G16" s="170"/>
    </row>
    <row r="17" ht="14.25" customHeight="1">
      <c r="A17" s="53" t="s">
        <v>73</v>
      </c>
      <c r="B17" s="167"/>
      <c r="C17" s="167"/>
      <c r="D17" s="167"/>
      <c r="E17" s="168" t="str">
        <f>E15/E18</f>
        <v>#DIV/0!</v>
      </c>
      <c r="F17" s="167"/>
      <c r="G17" s="170"/>
    </row>
    <row r="18" ht="14.25" customHeight="1">
      <c r="A18" s="171" t="s">
        <v>11</v>
      </c>
      <c r="B18" s="172"/>
      <c r="C18" s="172"/>
      <c r="D18" s="172"/>
      <c r="E18" s="173"/>
      <c r="F18" s="172"/>
      <c r="G18" s="175"/>
    </row>
    <row r="19" ht="14.25" customHeight="1">
      <c r="A19" s="176"/>
      <c r="B19" s="176"/>
      <c r="C19" s="176"/>
      <c r="D19" s="176"/>
      <c r="E19" s="176"/>
      <c r="F19" s="176"/>
      <c r="G19" s="176"/>
    </row>
    <row r="20">
      <c r="A20" s="142" t="s">
        <v>513</v>
      </c>
    </row>
    <row r="21" ht="14.25" customHeight="1">
      <c r="A21" s="143" t="s">
        <v>8</v>
      </c>
      <c r="B21" s="146" t="s">
        <v>10</v>
      </c>
      <c r="C21" s="146" t="s">
        <v>12</v>
      </c>
      <c r="D21" s="146" t="s">
        <v>13</v>
      </c>
      <c r="E21" s="146" t="s">
        <v>16</v>
      </c>
      <c r="F21" s="146" t="s">
        <v>17</v>
      </c>
      <c r="G21" s="148" t="s">
        <v>18</v>
      </c>
    </row>
    <row r="22" ht="14.25" customHeight="1">
      <c r="A22" s="179" t="s">
        <v>517</v>
      </c>
      <c r="B22" s="180" t="s">
        <v>24</v>
      </c>
      <c r="C22" s="153">
        <f>IFERROR(VLOOKUP(A22,'Market List'!$B:$F,5,FALSE),0)</f>
        <v>0</v>
      </c>
      <c r="D22" s="180">
        <v>30.0</v>
      </c>
      <c r="E22" s="185">
        <f t="shared" ref="E22:E26" si="2">C22*D22</f>
        <v>0</v>
      </c>
      <c r="F22" s="157"/>
      <c r="G22" s="158"/>
    </row>
    <row r="23" ht="14.25" customHeight="1">
      <c r="A23" s="179" t="s">
        <v>466</v>
      </c>
      <c r="B23" s="180" t="s">
        <v>24</v>
      </c>
      <c r="C23" s="153">
        <f>IFERROR(VLOOKUP(A23,'Market List'!$B:$F,5,FALSE),0)</f>
        <v>38.42105263</v>
      </c>
      <c r="D23" s="180">
        <v>50.0</v>
      </c>
      <c r="E23" s="185">
        <f t="shared" si="2"/>
        <v>1921.052632</v>
      </c>
      <c r="F23" s="157"/>
      <c r="G23" s="158"/>
    </row>
    <row r="24" ht="14.25" customHeight="1">
      <c r="A24" s="179" t="s">
        <v>525</v>
      </c>
      <c r="B24" s="180" t="s">
        <v>24</v>
      </c>
      <c r="C24" s="153">
        <f>IFERROR(VLOOKUP(A24,'Market List'!$B:$F,5,FALSE),0)</f>
        <v>0</v>
      </c>
      <c r="D24" s="180">
        <v>25.0</v>
      </c>
      <c r="E24" s="185">
        <f t="shared" si="2"/>
        <v>0</v>
      </c>
      <c r="F24" s="157"/>
      <c r="G24" s="158"/>
    </row>
    <row r="25" ht="14.25" customHeight="1">
      <c r="A25" s="179" t="s">
        <v>491</v>
      </c>
      <c r="B25" s="180" t="s">
        <v>24</v>
      </c>
      <c r="C25" s="153">
        <f>IFERROR(VLOOKUP(A25,'Market List'!$B:$F,5,FALSE),0)</f>
        <v>733.3333333</v>
      </c>
      <c r="D25" s="180">
        <v>7.5</v>
      </c>
      <c r="E25" s="185">
        <f t="shared" si="2"/>
        <v>5500</v>
      </c>
      <c r="F25" s="157"/>
      <c r="G25" s="158"/>
    </row>
    <row r="26" ht="14.25" customHeight="1">
      <c r="A26" s="179" t="s">
        <v>488</v>
      </c>
      <c r="B26" s="180" t="s">
        <v>24</v>
      </c>
      <c r="C26" s="153">
        <f>IFERROR(VLOOKUP(A26,'Market List'!$B:$F,5,FALSE),0)</f>
        <v>0</v>
      </c>
      <c r="D26" s="180">
        <v>7.5</v>
      </c>
      <c r="E26" s="185">
        <f t="shared" si="2"/>
        <v>0</v>
      </c>
      <c r="F26" s="157"/>
      <c r="G26" s="158"/>
    </row>
    <row r="27" ht="14.25" customHeight="1">
      <c r="A27" s="159"/>
      <c r="B27" s="160"/>
      <c r="C27" s="160"/>
      <c r="D27" s="160"/>
      <c r="E27" s="192"/>
      <c r="F27" s="157"/>
      <c r="G27" s="158"/>
    </row>
    <row r="28" ht="14.25" customHeight="1">
      <c r="A28" s="159"/>
      <c r="B28" s="160"/>
      <c r="C28" s="160"/>
      <c r="D28" s="160"/>
      <c r="E28" s="192"/>
      <c r="F28" s="157"/>
      <c r="G28" s="158"/>
    </row>
    <row r="29" ht="14.25" customHeight="1">
      <c r="A29" s="159"/>
      <c r="B29" s="160"/>
      <c r="C29" s="160"/>
      <c r="D29" s="160"/>
      <c r="E29" s="192"/>
      <c r="F29" s="157"/>
      <c r="G29" s="158"/>
    </row>
    <row r="30" ht="14.25" customHeight="1">
      <c r="A30" s="161" t="s">
        <v>62</v>
      </c>
      <c r="B30" s="162"/>
      <c r="C30" s="162"/>
      <c r="D30" s="162"/>
      <c r="E30" s="185">
        <f>C30*D30</f>
        <v>0</v>
      </c>
      <c r="F30" s="164"/>
      <c r="G30" s="165"/>
    </row>
    <row r="31" ht="14.25" customHeight="1">
      <c r="A31" s="166" t="s">
        <v>64</v>
      </c>
      <c r="B31" s="167"/>
      <c r="C31" s="167"/>
      <c r="D31" s="167"/>
      <c r="E31" s="195">
        <f>sum(E22:E30)</f>
        <v>7421.052632</v>
      </c>
      <c r="F31" s="169" t="s">
        <v>502</v>
      </c>
      <c r="G31" s="170"/>
    </row>
    <row r="32" ht="14.25" customHeight="1">
      <c r="A32" s="166" t="s">
        <v>67</v>
      </c>
      <c r="B32" s="167"/>
      <c r="C32" s="167"/>
      <c r="D32" s="167"/>
      <c r="E32" s="195">
        <f>E31*15%</f>
        <v>1113.157895</v>
      </c>
      <c r="F32" s="169" t="s">
        <v>69</v>
      </c>
      <c r="G32" s="170"/>
    </row>
    <row r="33" ht="14.25" customHeight="1">
      <c r="A33" s="166" t="s">
        <v>70</v>
      </c>
      <c r="B33" s="167"/>
      <c r="C33" s="167"/>
      <c r="D33" s="167"/>
      <c r="E33" s="195">
        <f>E31+E32</f>
        <v>8534.210526</v>
      </c>
      <c r="F33" s="167"/>
      <c r="G33" s="170"/>
    </row>
    <row r="34" ht="14.25" customHeight="1">
      <c r="A34" s="166" t="s">
        <v>71</v>
      </c>
      <c r="B34" s="167"/>
      <c r="C34" s="167"/>
      <c r="D34" s="167"/>
      <c r="E34" s="195">
        <f>E36-E33</f>
        <v>16465.78947</v>
      </c>
      <c r="F34" s="167"/>
      <c r="G34" s="170"/>
    </row>
    <row r="35" ht="14.25" customHeight="1">
      <c r="A35" s="166" t="s">
        <v>388</v>
      </c>
      <c r="B35" s="167"/>
      <c r="C35" s="167"/>
      <c r="D35" s="167"/>
      <c r="E35" s="202">
        <f>E33/E36</f>
        <v>0.3413684211</v>
      </c>
      <c r="F35" s="167"/>
      <c r="G35" s="170"/>
    </row>
    <row r="36" ht="14.25" customHeight="1">
      <c r="A36" s="171" t="s">
        <v>11</v>
      </c>
      <c r="B36" s="172"/>
      <c r="C36" s="172"/>
      <c r="D36" s="172"/>
      <c r="E36" s="203">
        <v>25000.0</v>
      </c>
      <c r="F36" s="172"/>
      <c r="G36" s="175"/>
    </row>
    <row r="37" ht="14.25" customHeight="1">
      <c r="A37" s="176"/>
      <c r="B37" s="176"/>
      <c r="C37" s="176"/>
      <c r="D37" s="176"/>
      <c r="E37" s="176"/>
      <c r="F37" s="176"/>
      <c r="G37" s="176"/>
    </row>
    <row r="38">
      <c r="A38" s="142" t="s">
        <v>555</v>
      </c>
    </row>
    <row r="39" ht="14.25" customHeight="1">
      <c r="A39" s="143" t="s">
        <v>8</v>
      </c>
      <c r="B39" s="146" t="s">
        <v>10</v>
      </c>
      <c r="C39" s="146" t="s">
        <v>12</v>
      </c>
      <c r="D39" s="146" t="s">
        <v>13</v>
      </c>
      <c r="E39" s="146" t="s">
        <v>16</v>
      </c>
      <c r="F39" s="146" t="s">
        <v>17</v>
      </c>
      <c r="G39" s="148" t="s">
        <v>18</v>
      </c>
    </row>
    <row r="40" ht="14.25" customHeight="1">
      <c r="A40" s="179" t="s">
        <v>558</v>
      </c>
      <c r="B40" s="180" t="s">
        <v>24</v>
      </c>
      <c r="C40" s="153">
        <f>IFERROR(VLOOKUP(A40,'Market List'!$B:$F,5,FALSE),0)</f>
        <v>0</v>
      </c>
      <c r="D40" s="180">
        <v>20.0</v>
      </c>
      <c r="E40" s="209">
        <f t="shared" ref="E40:E44" si="3">C40*D40</f>
        <v>0</v>
      </c>
      <c r="F40" s="157"/>
      <c r="G40" s="158"/>
    </row>
    <row r="41" ht="14.25" customHeight="1">
      <c r="A41" s="179" t="s">
        <v>562</v>
      </c>
      <c r="B41" s="180" t="s">
        <v>24</v>
      </c>
      <c r="C41" s="153">
        <f>IFERROR(VLOOKUP(A41,'Market List'!$B:$F,5,FALSE),0)</f>
        <v>0</v>
      </c>
      <c r="D41" s="180">
        <v>10.0</v>
      </c>
      <c r="E41" s="209">
        <f t="shared" si="3"/>
        <v>0</v>
      </c>
      <c r="F41" s="157"/>
      <c r="G41" s="158"/>
    </row>
    <row r="42" ht="14.25" customHeight="1">
      <c r="A42" s="179" t="s">
        <v>565</v>
      </c>
      <c r="B42" s="180" t="s">
        <v>24</v>
      </c>
      <c r="C42" s="153">
        <f>IFERROR(VLOOKUP(A42,'Market List'!$B:$F,5,FALSE),0)</f>
        <v>0</v>
      </c>
      <c r="D42" s="180">
        <v>60.0</v>
      </c>
      <c r="E42" s="209">
        <f t="shared" si="3"/>
        <v>0</v>
      </c>
      <c r="F42" s="157"/>
      <c r="G42" s="158"/>
    </row>
    <row r="43" ht="14.25" customHeight="1">
      <c r="A43" s="179" t="s">
        <v>469</v>
      </c>
      <c r="B43" s="180" t="s">
        <v>24</v>
      </c>
      <c r="C43" s="153">
        <f>IFERROR(VLOOKUP(A43,'Market List'!$B:$F,5,FALSE),0)</f>
        <v>42.79</v>
      </c>
      <c r="D43" s="180">
        <v>5.0</v>
      </c>
      <c r="E43" s="209">
        <f t="shared" si="3"/>
        <v>213.95</v>
      </c>
      <c r="F43" s="157"/>
      <c r="G43" s="158"/>
    </row>
    <row r="44" ht="14.25" customHeight="1">
      <c r="A44" s="179" t="s">
        <v>490</v>
      </c>
      <c r="B44" s="180" t="s">
        <v>24</v>
      </c>
      <c r="C44" s="153">
        <f>IFERROR(VLOOKUP(A44,'Market List'!$B:$F,5,FALSE),0)</f>
        <v>0</v>
      </c>
      <c r="D44" s="180">
        <v>40.0</v>
      </c>
      <c r="E44" s="209">
        <f t="shared" si="3"/>
        <v>0</v>
      </c>
      <c r="F44" s="157"/>
      <c r="G44" s="158"/>
    </row>
    <row r="45" ht="14.25" customHeight="1">
      <c r="A45" s="159"/>
      <c r="B45" s="160"/>
      <c r="C45" s="160"/>
      <c r="D45" s="160"/>
      <c r="E45" s="192"/>
      <c r="F45" s="157"/>
      <c r="G45" s="158"/>
    </row>
    <row r="46" ht="14.25" customHeight="1">
      <c r="A46" s="159"/>
      <c r="B46" s="160"/>
      <c r="C46" s="160"/>
      <c r="D46" s="160"/>
      <c r="E46" s="192"/>
      <c r="F46" s="157"/>
      <c r="G46" s="158"/>
    </row>
    <row r="47" ht="14.25" customHeight="1">
      <c r="A47" s="159"/>
      <c r="B47" s="160"/>
      <c r="C47" s="160"/>
      <c r="D47" s="160"/>
      <c r="E47" s="192"/>
      <c r="F47" s="157"/>
      <c r="G47" s="158"/>
    </row>
    <row r="48" ht="14.25" customHeight="1">
      <c r="A48" s="161" t="s">
        <v>62</v>
      </c>
      <c r="B48" s="162"/>
      <c r="C48" s="162"/>
      <c r="D48" s="162"/>
      <c r="E48" s="209">
        <f>C48*D48</f>
        <v>0</v>
      </c>
      <c r="F48" s="164"/>
      <c r="G48" s="165"/>
    </row>
    <row r="49" ht="14.25" customHeight="1">
      <c r="A49" s="166" t="s">
        <v>64</v>
      </c>
      <c r="B49" s="167"/>
      <c r="C49" s="167"/>
      <c r="D49" s="167"/>
      <c r="E49" s="195">
        <f>sum(E40:E48)</f>
        <v>213.95</v>
      </c>
      <c r="F49" s="169" t="s">
        <v>502</v>
      </c>
      <c r="G49" s="170"/>
    </row>
    <row r="50" ht="14.25" customHeight="1">
      <c r="A50" s="166" t="s">
        <v>67</v>
      </c>
      <c r="B50" s="167"/>
      <c r="C50" s="167"/>
      <c r="D50" s="167"/>
      <c r="E50" s="195">
        <f>E49*15%</f>
        <v>32.0925</v>
      </c>
      <c r="F50" s="169" t="s">
        <v>69</v>
      </c>
      <c r="G50" s="170"/>
    </row>
    <row r="51" ht="14.25" customHeight="1">
      <c r="A51" s="166" t="s">
        <v>70</v>
      </c>
      <c r="B51" s="167"/>
      <c r="C51" s="167"/>
      <c r="D51" s="167"/>
      <c r="E51" s="195">
        <f>sum(E49+E50)</f>
        <v>246.0425</v>
      </c>
      <c r="F51" s="167"/>
      <c r="G51" s="170"/>
    </row>
    <row r="52" ht="14.25" customHeight="1">
      <c r="A52" s="166" t="s">
        <v>71</v>
      </c>
      <c r="B52" s="167"/>
      <c r="C52" s="167"/>
      <c r="D52" s="167"/>
      <c r="E52" s="195">
        <f>E54-E51</f>
        <v>24753.9575</v>
      </c>
      <c r="F52" s="167"/>
      <c r="G52" s="170"/>
    </row>
    <row r="53" ht="14.25" customHeight="1">
      <c r="A53" s="166" t="s">
        <v>388</v>
      </c>
      <c r="B53" s="167"/>
      <c r="C53" s="167"/>
      <c r="D53" s="167"/>
      <c r="E53" s="168" t="s">
        <v>575</v>
      </c>
      <c r="F53" s="167"/>
      <c r="G53" s="170"/>
    </row>
    <row r="54" ht="14.25" customHeight="1">
      <c r="A54" s="171" t="s">
        <v>11</v>
      </c>
      <c r="B54" s="172"/>
      <c r="C54" s="172"/>
      <c r="D54" s="172"/>
      <c r="E54" s="203">
        <v>25000.0</v>
      </c>
      <c r="F54" s="172"/>
      <c r="G54" s="175"/>
    </row>
    <row r="55" ht="14.25" customHeight="1">
      <c r="A55" s="210"/>
      <c r="B55" s="210"/>
      <c r="C55" s="210"/>
      <c r="D55" s="210"/>
      <c r="E55" s="210"/>
      <c r="F55" s="210"/>
      <c r="G55" s="210"/>
    </row>
    <row r="56" ht="14.25" customHeight="1">
      <c r="A56" s="210"/>
      <c r="B56" s="210"/>
      <c r="C56" s="210"/>
      <c r="D56" s="210"/>
      <c r="E56" s="210"/>
      <c r="F56" s="210"/>
      <c r="G56" s="210"/>
    </row>
    <row r="57" ht="14.25" customHeight="1">
      <c r="A57" s="210"/>
      <c r="B57" s="210"/>
      <c r="C57" s="210"/>
      <c r="D57" s="210"/>
      <c r="E57" s="210"/>
      <c r="F57" s="210"/>
      <c r="G57" s="210"/>
    </row>
    <row r="58" ht="14.25" customHeight="1">
      <c r="A58" s="210"/>
      <c r="B58" s="210"/>
      <c r="C58" s="210"/>
      <c r="D58" s="210"/>
      <c r="E58" s="210"/>
      <c r="F58" s="210"/>
      <c r="G58" s="210"/>
    </row>
    <row r="59" ht="14.25" customHeight="1">
      <c r="A59" s="210"/>
      <c r="B59" s="210"/>
      <c r="C59" s="210"/>
      <c r="D59" s="210"/>
      <c r="E59" s="210"/>
      <c r="F59" s="210"/>
      <c r="G59" s="210"/>
    </row>
    <row r="60" ht="14.25" customHeight="1">
      <c r="A60" s="210"/>
      <c r="B60" s="210"/>
      <c r="C60" s="210"/>
      <c r="D60" s="210"/>
      <c r="E60" s="210"/>
      <c r="F60" s="210"/>
      <c r="G60" s="210"/>
    </row>
    <row r="61" ht="14.25" customHeight="1">
      <c r="A61" s="210"/>
      <c r="B61" s="210"/>
      <c r="C61" s="210"/>
      <c r="D61" s="210"/>
      <c r="E61" s="210"/>
      <c r="F61" s="210"/>
      <c r="G61" s="210"/>
    </row>
    <row r="62" ht="14.25" customHeight="1">
      <c r="A62" s="210"/>
      <c r="B62" s="210"/>
      <c r="C62" s="210"/>
      <c r="D62" s="210"/>
      <c r="E62" s="210"/>
      <c r="F62" s="210"/>
      <c r="G62" s="210"/>
    </row>
    <row r="63" ht="14.25" customHeight="1">
      <c r="A63" s="210"/>
      <c r="B63" s="210"/>
      <c r="C63" s="210"/>
      <c r="D63" s="210"/>
      <c r="E63" s="210"/>
      <c r="F63" s="210"/>
      <c r="G63" s="210"/>
    </row>
    <row r="64" ht="14.25" customHeight="1">
      <c r="A64" s="210"/>
      <c r="B64" s="210"/>
      <c r="C64" s="210"/>
      <c r="D64" s="210"/>
      <c r="E64" s="210"/>
      <c r="F64" s="210"/>
      <c r="G64" s="210"/>
    </row>
    <row r="65" ht="14.25" customHeight="1">
      <c r="A65" s="210"/>
      <c r="B65" s="210"/>
      <c r="C65" s="210"/>
      <c r="D65" s="210"/>
      <c r="E65" s="210"/>
      <c r="F65" s="210"/>
      <c r="G65" s="210"/>
    </row>
    <row r="66" ht="14.25" customHeight="1">
      <c r="A66" s="210"/>
      <c r="B66" s="210"/>
      <c r="C66" s="210"/>
      <c r="D66" s="210"/>
      <c r="E66" s="210"/>
      <c r="F66" s="210"/>
      <c r="G66" s="210"/>
    </row>
    <row r="67" ht="14.25" customHeight="1">
      <c r="A67" s="210"/>
      <c r="B67" s="210"/>
      <c r="C67" s="210"/>
      <c r="D67" s="210"/>
      <c r="E67" s="210"/>
      <c r="F67" s="210"/>
      <c r="G67" s="210"/>
    </row>
    <row r="68" ht="14.25" customHeight="1">
      <c r="A68" s="210"/>
      <c r="B68" s="210"/>
      <c r="C68" s="210"/>
      <c r="D68" s="210"/>
      <c r="E68" s="210"/>
      <c r="F68" s="210"/>
      <c r="G68" s="210"/>
    </row>
    <row r="69" ht="14.25" customHeight="1">
      <c r="A69" s="210"/>
      <c r="B69" s="210"/>
      <c r="C69" s="210"/>
      <c r="D69" s="210"/>
      <c r="E69" s="210"/>
      <c r="F69" s="210"/>
      <c r="G69" s="210"/>
    </row>
    <row r="70" ht="14.25" customHeight="1">
      <c r="A70" s="210"/>
      <c r="B70" s="210"/>
      <c r="C70" s="210"/>
      <c r="D70" s="210"/>
      <c r="E70" s="210"/>
      <c r="F70" s="210"/>
      <c r="G70" s="210"/>
    </row>
    <row r="71" ht="14.25" customHeight="1">
      <c r="A71" s="210"/>
      <c r="B71" s="210"/>
      <c r="C71" s="210"/>
      <c r="D71" s="210"/>
      <c r="E71" s="210"/>
      <c r="F71" s="210"/>
      <c r="G71" s="210"/>
    </row>
    <row r="72" ht="14.25" customHeight="1">
      <c r="A72" s="210"/>
      <c r="B72" s="210"/>
      <c r="C72" s="210"/>
      <c r="D72" s="210"/>
      <c r="E72" s="210"/>
      <c r="F72" s="210"/>
      <c r="G72" s="210"/>
    </row>
    <row r="73" ht="14.25" customHeight="1">
      <c r="A73" s="210"/>
      <c r="B73" s="210"/>
      <c r="C73" s="210"/>
      <c r="D73" s="210"/>
      <c r="E73" s="210"/>
      <c r="F73" s="210"/>
      <c r="G73" s="210"/>
    </row>
    <row r="74" ht="14.25" customHeight="1">
      <c r="A74" s="210"/>
      <c r="B74" s="210"/>
      <c r="C74" s="210"/>
      <c r="D74" s="210"/>
      <c r="E74" s="210"/>
      <c r="F74" s="210"/>
      <c r="G74" s="210"/>
    </row>
    <row r="75" ht="14.25" customHeight="1">
      <c r="A75" s="210"/>
      <c r="B75" s="210"/>
      <c r="C75" s="210"/>
      <c r="D75" s="210"/>
      <c r="E75" s="210"/>
      <c r="F75" s="210"/>
      <c r="G75" s="210"/>
    </row>
    <row r="76" ht="14.25" customHeight="1">
      <c r="A76" s="210"/>
      <c r="B76" s="210"/>
      <c r="C76" s="210"/>
      <c r="D76" s="210"/>
      <c r="E76" s="210"/>
      <c r="F76" s="210"/>
      <c r="G76" s="210"/>
    </row>
    <row r="77" ht="14.25" customHeight="1">
      <c r="A77" s="210"/>
      <c r="B77" s="210"/>
      <c r="C77" s="210"/>
      <c r="D77" s="210"/>
      <c r="E77" s="210"/>
      <c r="F77" s="210"/>
      <c r="G77" s="210"/>
    </row>
    <row r="78" ht="14.25" customHeight="1">
      <c r="A78" s="210"/>
      <c r="B78" s="210"/>
      <c r="C78" s="210"/>
      <c r="D78" s="210"/>
      <c r="E78" s="210"/>
      <c r="F78" s="210"/>
      <c r="G78" s="210"/>
    </row>
    <row r="79" ht="14.25" customHeight="1">
      <c r="A79" s="210"/>
      <c r="B79" s="210"/>
      <c r="C79" s="210"/>
      <c r="D79" s="210"/>
      <c r="E79" s="210"/>
      <c r="F79" s="210"/>
      <c r="G79" s="210"/>
    </row>
    <row r="80" ht="14.25" customHeight="1">
      <c r="A80" s="210"/>
      <c r="B80" s="210"/>
      <c r="C80" s="210"/>
      <c r="D80" s="210"/>
      <c r="E80" s="210"/>
      <c r="F80" s="210"/>
      <c r="G80" s="210"/>
    </row>
    <row r="81" ht="14.25" customHeight="1">
      <c r="A81" s="210"/>
      <c r="B81" s="210"/>
      <c r="C81" s="210"/>
      <c r="D81" s="210"/>
      <c r="E81" s="210"/>
      <c r="F81" s="210"/>
      <c r="G81" s="210"/>
    </row>
    <row r="82" ht="14.25" customHeight="1">
      <c r="A82" s="210"/>
      <c r="B82" s="210"/>
      <c r="C82" s="210"/>
      <c r="D82" s="210"/>
      <c r="E82" s="210"/>
      <c r="F82" s="210"/>
      <c r="G82" s="210"/>
    </row>
    <row r="83" ht="14.25" customHeight="1">
      <c r="A83" s="210"/>
      <c r="B83" s="210"/>
      <c r="C83" s="210"/>
      <c r="D83" s="210"/>
      <c r="E83" s="210"/>
      <c r="F83" s="210"/>
      <c r="G83" s="210"/>
    </row>
    <row r="84" ht="14.25" customHeight="1">
      <c r="A84" s="210"/>
      <c r="B84" s="210"/>
      <c r="C84" s="210"/>
      <c r="D84" s="210"/>
      <c r="E84" s="210"/>
      <c r="F84" s="210"/>
      <c r="G84" s="210"/>
    </row>
    <row r="85" ht="14.25" customHeight="1">
      <c r="A85" s="210"/>
      <c r="B85" s="210"/>
      <c r="C85" s="210"/>
      <c r="D85" s="210"/>
      <c r="E85" s="210"/>
      <c r="F85" s="210"/>
      <c r="G85" s="210"/>
    </row>
    <row r="86" ht="14.25" customHeight="1">
      <c r="A86" s="210"/>
      <c r="B86" s="210"/>
      <c r="C86" s="210"/>
      <c r="D86" s="210"/>
      <c r="E86" s="210"/>
      <c r="F86" s="210"/>
      <c r="G86" s="210"/>
    </row>
    <row r="87" ht="14.25" customHeight="1">
      <c r="A87" s="210"/>
      <c r="B87" s="210"/>
      <c r="C87" s="210"/>
      <c r="D87" s="210"/>
      <c r="E87" s="210"/>
      <c r="F87" s="210"/>
      <c r="G87" s="210"/>
    </row>
    <row r="88" ht="14.25" customHeight="1">
      <c r="A88" s="210"/>
      <c r="B88" s="210"/>
      <c r="C88" s="210"/>
      <c r="D88" s="210"/>
      <c r="E88" s="210"/>
      <c r="F88" s="210"/>
      <c r="G88" s="210"/>
    </row>
    <row r="89" ht="14.25" customHeight="1">
      <c r="A89" s="210"/>
      <c r="B89" s="210"/>
      <c r="C89" s="210"/>
      <c r="D89" s="210"/>
      <c r="E89" s="210"/>
      <c r="F89" s="210"/>
      <c r="G89" s="210"/>
    </row>
    <row r="90" ht="14.25" customHeight="1">
      <c r="A90" s="210"/>
      <c r="B90" s="210"/>
      <c r="C90" s="210"/>
      <c r="D90" s="210"/>
      <c r="E90" s="210"/>
      <c r="F90" s="210"/>
      <c r="G90" s="210"/>
    </row>
    <row r="91" ht="14.25" customHeight="1">
      <c r="A91" s="210"/>
      <c r="B91" s="210"/>
      <c r="C91" s="210"/>
      <c r="D91" s="210"/>
      <c r="E91" s="210"/>
      <c r="F91" s="210"/>
      <c r="G91" s="210"/>
    </row>
    <row r="92" ht="14.25" customHeight="1">
      <c r="A92" s="210"/>
      <c r="B92" s="210"/>
      <c r="C92" s="210"/>
      <c r="D92" s="210"/>
      <c r="E92" s="210"/>
      <c r="F92" s="210"/>
      <c r="G92" s="210"/>
    </row>
    <row r="93" ht="14.25" customHeight="1">
      <c r="A93" s="210"/>
      <c r="B93" s="210"/>
      <c r="C93" s="210"/>
      <c r="D93" s="210"/>
      <c r="E93" s="210"/>
      <c r="F93" s="210"/>
      <c r="G93" s="210"/>
    </row>
    <row r="94" ht="14.25" customHeight="1">
      <c r="A94" s="210"/>
      <c r="B94" s="210"/>
      <c r="C94" s="210"/>
      <c r="D94" s="210"/>
      <c r="E94" s="210"/>
      <c r="F94" s="210"/>
      <c r="G94" s="210"/>
    </row>
    <row r="95" ht="14.25" customHeight="1">
      <c r="A95" s="210"/>
      <c r="B95" s="210"/>
      <c r="C95" s="210"/>
      <c r="D95" s="210"/>
      <c r="E95" s="210"/>
      <c r="F95" s="210"/>
      <c r="G95" s="210"/>
    </row>
    <row r="96" ht="14.25" customHeight="1">
      <c r="A96" s="210"/>
      <c r="B96" s="210"/>
      <c r="C96" s="210"/>
      <c r="D96" s="210"/>
      <c r="E96" s="210"/>
      <c r="F96" s="210"/>
      <c r="G96" s="210"/>
    </row>
    <row r="97" ht="14.25" customHeight="1">
      <c r="A97" s="210"/>
      <c r="B97" s="210"/>
      <c r="C97" s="210"/>
      <c r="D97" s="210"/>
      <c r="E97" s="210"/>
      <c r="F97" s="210"/>
      <c r="G97" s="210"/>
    </row>
    <row r="98" ht="14.25" customHeight="1">
      <c r="A98" s="210"/>
      <c r="B98" s="210"/>
      <c r="C98" s="210"/>
      <c r="D98" s="210"/>
      <c r="E98" s="210"/>
      <c r="F98" s="210"/>
      <c r="G98" s="210"/>
    </row>
    <row r="99" ht="14.25" customHeight="1">
      <c r="A99" s="210"/>
      <c r="B99" s="210"/>
      <c r="C99" s="210"/>
      <c r="D99" s="210"/>
      <c r="E99" s="210"/>
      <c r="F99" s="210"/>
      <c r="G99" s="210"/>
    </row>
    <row r="100" ht="14.25" customHeight="1">
      <c r="A100" s="210"/>
      <c r="B100" s="210"/>
      <c r="C100" s="210"/>
      <c r="D100" s="210"/>
      <c r="E100" s="210"/>
      <c r="F100" s="210"/>
      <c r="G100" s="210"/>
    </row>
    <row r="101" ht="14.25" customHeight="1">
      <c r="A101" s="210"/>
      <c r="B101" s="210"/>
      <c r="C101" s="210"/>
      <c r="D101" s="210"/>
      <c r="E101" s="210"/>
      <c r="F101" s="210"/>
      <c r="G101" s="210"/>
    </row>
    <row r="102" ht="14.25" customHeight="1">
      <c r="A102" s="210"/>
      <c r="B102" s="210"/>
      <c r="C102" s="210"/>
      <c r="D102" s="210"/>
      <c r="E102" s="210"/>
      <c r="F102" s="210"/>
      <c r="G102" s="210"/>
    </row>
    <row r="103" ht="14.25" customHeight="1">
      <c r="A103" s="210"/>
      <c r="B103" s="210"/>
      <c r="C103" s="210"/>
      <c r="D103" s="210"/>
      <c r="E103" s="210"/>
      <c r="F103" s="210"/>
      <c r="G103" s="210"/>
    </row>
    <row r="104" ht="14.25" customHeight="1">
      <c r="A104" s="210"/>
      <c r="B104" s="210"/>
      <c r="C104" s="210"/>
      <c r="D104" s="210"/>
      <c r="E104" s="210"/>
      <c r="F104" s="210"/>
      <c r="G104" s="210"/>
    </row>
    <row r="105" ht="14.25" customHeight="1">
      <c r="A105" s="210"/>
      <c r="B105" s="210"/>
      <c r="C105" s="210"/>
      <c r="D105" s="210"/>
      <c r="E105" s="210"/>
      <c r="F105" s="210"/>
      <c r="G105" s="210"/>
    </row>
    <row r="106" ht="14.25" customHeight="1">
      <c r="A106" s="210"/>
      <c r="B106" s="210"/>
      <c r="C106" s="210"/>
      <c r="D106" s="210"/>
      <c r="E106" s="210"/>
      <c r="F106" s="210"/>
      <c r="G106" s="210"/>
    </row>
    <row r="107" ht="14.25" customHeight="1">
      <c r="A107" s="210"/>
      <c r="B107" s="210"/>
      <c r="C107" s="210"/>
      <c r="D107" s="210"/>
      <c r="E107" s="210"/>
      <c r="F107" s="210"/>
      <c r="G107" s="210"/>
    </row>
    <row r="108" ht="14.25" customHeight="1">
      <c r="A108" s="210"/>
      <c r="B108" s="210"/>
      <c r="C108" s="210"/>
      <c r="D108" s="210"/>
      <c r="E108" s="210"/>
      <c r="F108" s="210"/>
      <c r="G108" s="210"/>
    </row>
    <row r="109" ht="14.25" customHeight="1">
      <c r="A109" s="210"/>
      <c r="B109" s="210"/>
      <c r="C109" s="210"/>
      <c r="D109" s="210"/>
      <c r="E109" s="210"/>
      <c r="F109" s="210"/>
      <c r="G109" s="210"/>
    </row>
    <row r="110" ht="14.25" customHeight="1">
      <c r="A110" s="210"/>
      <c r="B110" s="210"/>
      <c r="C110" s="210"/>
      <c r="D110" s="210"/>
      <c r="E110" s="210"/>
      <c r="F110" s="210"/>
      <c r="G110" s="210"/>
    </row>
    <row r="111" ht="14.25" customHeight="1">
      <c r="A111" s="210"/>
      <c r="B111" s="210"/>
      <c r="C111" s="210"/>
      <c r="D111" s="210"/>
      <c r="E111" s="210"/>
      <c r="F111" s="210"/>
      <c r="G111" s="210"/>
    </row>
    <row r="112" ht="14.25" customHeight="1">
      <c r="A112" s="210"/>
      <c r="B112" s="210"/>
      <c r="C112" s="210"/>
      <c r="D112" s="210"/>
      <c r="E112" s="210"/>
      <c r="F112" s="210"/>
      <c r="G112" s="210"/>
    </row>
    <row r="113" ht="14.25" customHeight="1">
      <c r="A113" s="210"/>
      <c r="B113" s="210"/>
      <c r="C113" s="210"/>
      <c r="D113" s="210"/>
      <c r="E113" s="210"/>
      <c r="F113" s="210"/>
      <c r="G113" s="210"/>
    </row>
    <row r="114" ht="14.25" customHeight="1">
      <c r="A114" s="210"/>
      <c r="B114" s="210"/>
      <c r="C114" s="210"/>
      <c r="D114" s="210"/>
      <c r="E114" s="210"/>
      <c r="F114" s="210"/>
      <c r="G114" s="210"/>
    </row>
    <row r="115" ht="14.25" customHeight="1">
      <c r="A115" s="210"/>
      <c r="B115" s="210"/>
      <c r="C115" s="210"/>
      <c r="D115" s="210"/>
      <c r="E115" s="210"/>
      <c r="F115" s="210"/>
      <c r="G115" s="210"/>
    </row>
    <row r="116" ht="14.25" customHeight="1">
      <c r="A116" s="210"/>
      <c r="B116" s="210"/>
      <c r="C116" s="210"/>
      <c r="D116" s="210"/>
      <c r="E116" s="210"/>
      <c r="F116" s="210"/>
      <c r="G116" s="210"/>
    </row>
    <row r="117" ht="14.25" customHeight="1">
      <c r="A117" s="210"/>
      <c r="B117" s="210"/>
      <c r="C117" s="210"/>
      <c r="D117" s="210"/>
      <c r="E117" s="210"/>
      <c r="F117" s="210"/>
      <c r="G117" s="210"/>
    </row>
    <row r="118" ht="14.25" customHeight="1">
      <c r="A118" s="210"/>
      <c r="B118" s="210"/>
      <c r="C118" s="210"/>
      <c r="D118" s="210"/>
      <c r="E118" s="210"/>
      <c r="F118" s="210"/>
      <c r="G118" s="210"/>
    </row>
    <row r="119" ht="14.25" customHeight="1">
      <c r="A119" s="210"/>
      <c r="B119" s="210"/>
      <c r="C119" s="210"/>
      <c r="D119" s="210"/>
      <c r="E119" s="210"/>
      <c r="F119" s="210"/>
      <c r="G119" s="210"/>
    </row>
    <row r="120" ht="14.25" customHeight="1">
      <c r="A120" s="210"/>
      <c r="B120" s="210"/>
      <c r="C120" s="210"/>
      <c r="D120" s="210"/>
      <c r="E120" s="210"/>
      <c r="F120" s="210"/>
      <c r="G120" s="210"/>
    </row>
    <row r="121" ht="14.25" customHeight="1">
      <c r="A121" s="210"/>
      <c r="B121" s="210"/>
      <c r="C121" s="210"/>
      <c r="D121" s="210"/>
      <c r="E121" s="210"/>
      <c r="F121" s="210"/>
      <c r="G121" s="210"/>
    </row>
    <row r="122" ht="14.25" customHeight="1">
      <c r="A122" s="210"/>
      <c r="B122" s="210"/>
      <c r="C122" s="210"/>
      <c r="D122" s="210"/>
      <c r="E122" s="210"/>
      <c r="F122" s="210"/>
      <c r="G122" s="210"/>
    </row>
    <row r="123" ht="14.25" customHeight="1">
      <c r="A123" s="210"/>
      <c r="B123" s="210"/>
      <c r="C123" s="210"/>
      <c r="D123" s="210"/>
      <c r="E123" s="210"/>
      <c r="F123" s="210"/>
      <c r="G123" s="210"/>
    </row>
    <row r="124" ht="14.25" customHeight="1">
      <c r="A124" s="210"/>
      <c r="B124" s="210"/>
      <c r="C124" s="210"/>
      <c r="D124" s="210"/>
      <c r="E124" s="210"/>
      <c r="F124" s="210"/>
      <c r="G124" s="210"/>
    </row>
    <row r="125" ht="14.25" customHeight="1">
      <c r="A125" s="210"/>
      <c r="B125" s="210"/>
      <c r="C125" s="210"/>
      <c r="D125" s="210"/>
      <c r="E125" s="210"/>
      <c r="F125" s="210"/>
      <c r="G125" s="210"/>
    </row>
    <row r="126" ht="14.25" customHeight="1">
      <c r="A126" s="210"/>
      <c r="B126" s="210"/>
      <c r="C126" s="210"/>
      <c r="D126" s="210"/>
      <c r="E126" s="210"/>
      <c r="F126" s="210"/>
      <c r="G126" s="210"/>
    </row>
    <row r="127" ht="14.25" customHeight="1">
      <c r="A127" s="210"/>
      <c r="B127" s="210"/>
      <c r="C127" s="210"/>
      <c r="D127" s="210"/>
      <c r="E127" s="210"/>
      <c r="F127" s="210"/>
      <c r="G127" s="210"/>
    </row>
    <row r="128" ht="14.25" customHeight="1">
      <c r="A128" s="210"/>
      <c r="B128" s="210"/>
      <c r="C128" s="210"/>
      <c r="D128" s="210"/>
      <c r="E128" s="210"/>
      <c r="F128" s="210"/>
      <c r="G128" s="210"/>
    </row>
    <row r="129" ht="14.25" customHeight="1">
      <c r="A129" s="210"/>
      <c r="B129" s="210"/>
      <c r="C129" s="210"/>
      <c r="D129" s="210"/>
      <c r="E129" s="210"/>
      <c r="F129" s="210"/>
      <c r="G129" s="210"/>
    </row>
    <row r="130" ht="14.25" customHeight="1">
      <c r="A130" s="210"/>
      <c r="B130" s="210"/>
      <c r="C130" s="210"/>
      <c r="D130" s="210"/>
      <c r="E130" s="210"/>
      <c r="F130" s="210"/>
      <c r="G130" s="210"/>
    </row>
    <row r="131" ht="14.25" customHeight="1">
      <c r="A131" s="210"/>
      <c r="B131" s="210"/>
      <c r="C131" s="210"/>
      <c r="D131" s="210"/>
      <c r="E131" s="210"/>
      <c r="F131" s="210"/>
      <c r="G131" s="210"/>
    </row>
    <row r="132" ht="14.25" customHeight="1">
      <c r="A132" s="210"/>
      <c r="B132" s="210"/>
      <c r="C132" s="210"/>
      <c r="D132" s="210"/>
      <c r="E132" s="210"/>
      <c r="F132" s="210"/>
      <c r="G132" s="210"/>
    </row>
    <row r="133" ht="14.25" customHeight="1">
      <c r="A133" s="210"/>
      <c r="B133" s="210"/>
      <c r="C133" s="210"/>
      <c r="D133" s="210"/>
      <c r="E133" s="210"/>
      <c r="F133" s="210"/>
      <c r="G133" s="210"/>
    </row>
    <row r="134" ht="14.25" customHeight="1">
      <c r="A134" s="210"/>
      <c r="B134" s="210"/>
      <c r="C134" s="210"/>
      <c r="D134" s="210"/>
      <c r="E134" s="210"/>
      <c r="F134" s="210"/>
      <c r="G134" s="210"/>
    </row>
    <row r="135" ht="14.25" customHeight="1">
      <c r="A135" s="210"/>
      <c r="B135" s="210"/>
      <c r="C135" s="210"/>
      <c r="D135" s="210"/>
      <c r="E135" s="210"/>
      <c r="F135" s="210"/>
      <c r="G135" s="210"/>
    </row>
    <row r="136" ht="14.25" customHeight="1">
      <c r="A136" s="210"/>
      <c r="B136" s="210"/>
      <c r="C136" s="210"/>
      <c r="D136" s="210"/>
      <c r="E136" s="210"/>
      <c r="F136" s="210"/>
      <c r="G136" s="210"/>
    </row>
    <row r="137" ht="14.25" customHeight="1">
      <c r="A137" s="210"/>
      <c r="B137" s="210"/>
      <c r="C137" s="210"/>
      <c r="D137" s="210"/>
      <c r="E137" s="210"/>
      <c r="F137" s="210"/>
      <c r="G137" s="210"/>
    </row>
    <row r="138" ht="14.25" customHeight="1">
      <c r="A138" s="210"/>
      <c r="B138" s="210"/>
      <c r="C138" s="210"/>
      <c r="D138" s="210"/>
      <c r="E138" s="210"/>
      <c r="F138" s="210"/>
      <c r="G138" s="210"/>
    </row>
    <row r="139" ht="14.25" customHeight="1">
      <c r="A139" s="210"/>
      <c r="B139" s="210"/>
      <c r="C139" s="210"/>
      <c r="D139" s="210"/>
      <c r="E139" s="210"/>
      <c r="F139" s="210"/>
      <c r="G139" s="210"/>
    </row>
    <row r="140" ht="14.25" customHeight="1">
      <c r="A140" s="210"/>
      <c r="B140" s="210"/>
      <c r="C140" s="210"/>
      <c r="D140" s="210"/>
      <c r="E140" s="210"/>
      <c r="F140" s="210"/>
      <c r="G140" s="210"/>
    </row>
    <row r="141" ht="14.25" customHeight="1">
      <c r="A141" s="210"/>
      <c r="B141" s="210"/>
      <c r="C141" s="210"/>
      <c r="D141" s="210"/>
      <c r="E141" s="210"/>
      <c r="F141" s="210"/>
      <c r="G141" s="210"/>
    </row>
    <row r="142" ht="14.25" customHeight="1">
      <c r="A142" s="210"/>
      <c r="B142" s="210"/>
      <c r="C142" s="210"/>
      <c r="D142" s="210"/>
      <c r="E142" s="210"/>
      <c r="F142" s="210"/>
      <c r="G142" s="210"/>
    </row>
    <row r="143" ht="14.25" customHeight="1">
      <c r="A143" s="210"/>
      <c r="B143" s="210"/>
      <c r="C143" s="210"/>
      <c r="D143" s="210"/>
      <c r="E143" s="210"/>
      <c r="F143" s="210"/>
      <c r="G143" s="210"/>
    </row>
    <row r="144" ht="14.25" customHeight="1">
      <c r="A144" s="210"/>
      <c r="B144" s="210"/>
      <c r="C144" s="210"/>
      <c r="D144" s="210"/>
      <c r="E144" s="210"/>
      <c r="F144" s="210"/>
      <c r="G144" s="210"/>
    </row>
    <row r="145" ht="14.25" customHeight="1">
      <c r="A145" s="210"/>
      <c r="B145" s="210"/>
      <c r="C145" s="210"/>
      <c r="D145" s="210"/>
      <c r="E145" s="210"/>
      <c r="F145" s="210"/>
      <c r="G145" s="210"/>
    </row>
    <row r="146" ht="14.25" customHeight="1">
      <c r="A146" s="210"/>
      <c r="B146" s="210"/>
      <c r="C146" s="210"/>
      <c r="D146" s="210"/>
      <c r="E146" s="210"/>
      <c r="F146" s="210"/>
      <c r="G146" s="210"/>
    </row>
    <row r="147" ht="14.25" customHeight="1">
      <c r="A147" s="210"/>
      <c r="B147" s="210"/>
      <c r="C147" s="210"/>
      <c r="D147" s="210"/>
      <c r="E147" s="210"/>
      <c r="F147" s="210"/>
      <c r="G147" s="210"/>
    </row>
    <row r="148" ht="14.25" customHeight="1">
      <c r="A148" s="210"/>
      <c r="B148" s="210"/>
      <c r="C148" s="210"/>
      <c r="D148" s="210"/>
      <c r="E148" s="210"/>
      <c r="F148" s="210"/>
      <c r="G148" s="210"/>
    </row>
    <row r="149" ht="14.25" customHeight="1">
      <c r="A149" s="210"/>
      <c r="B149" s="210"/>
      <c r="C149" s="210"/>
      <c r="D149" s="210"/>
      <c r="E149" s="210"/>
      <c r="F149" s="210"/>
      <c r="G149" s="210"/>
    </row>
    <row r="150" ht="14.25" customHeight="1">
      <c r="A150" s="210"/>
      <c r="B150" s="210"/>
      <c r="C150" s="210"/>
      <c r="D150" s="210"/>
      <c r="E150" s="210"/>
      <c r="F150" s="210"/>
      <c r="G150" s="210"/>
    </row>
    <row r="151" ht="14.25" customHeight="1">
      <c r="A151" s="210"/>
      <c r="B151" s="210"/>
      <c r="C151" s="210"/>
      <c r="D151" s="210"/>
      <c r="E151" s="210"/>
      <c r="F151" s="210"/>
      <c r="G151" s="210"/>
    </row>
    <row r="152" ht="14.25" customHeight="1">
      <c r="A152" s="210"/>
      <c r="B152" s="210"/>
      <c r="C152" s="210"/>
      <c r="D152" s="210"/>
      <c r="E152" s="210"/>
      <c r="F152" s="210"/>
      <c r="G152" s="210"/>
    </row>
    <row r="153" ht="14.25" customHeight="1">
      <c r="A153" s="210"/>
      <c r="B153" s="210"/>
      <c r="C153" s="210"/>
      <c r="D153" s="210"/>
      <c r="E153" s="210"/>
      <c r="F153" s="210"/>
      <c r="G153" s="210"/>
    </row>
    <row r="154" ht="14.25" customHeight="1">
      <c r="A154" s="210"/>
      <c r="B154" s="210"/>
      <c r="C154" s="210"/>
      <c r="D154" s="210"/>
      <c r="E154" s="210"/>
      <c r="F154" s="210"/>
      <c r="G154" s="210"/>
    </row>
    <row r="155" ht="14.25" customHeight="1">
      <c r="A155" s="210"/>
      <c r="B155" s="210"/>
      <c r="C155" s="210"/>
      <c r="D155" s="210"/>
      <c r="E155" s="210"/>
      <c r="F155" s="210"/>
      <c r="G155" s="210"/>
    </row>
    <row r="156" ht="14.25" customHeight="1">
      <c r="A156" s="210"/>
      <c r="B156" s="210"/>
      <c r="C156" s="210"/>
      <c r="D156" s="210"/>
      <c r="E156" s="210"/>
      <c r="F156" s="210"/>
      <c r="G156" s="210"/>
    </row>
    <row r="157" ht="14.25" customHeight="1">
      <c r="A157" s="210"/>
      <c r="B157" s="210"/>
      <c r="C157" s="210"/>
      <c r="D157" s="210"/>
      <c r="E157" s="210"/>
      <c r="F157" s="210"/>
      <c r="G157" s="210"/>
    </row>
    <row r="158" ht="14.25" customHeight="1">
      <c r="A158" s="210"/>
      <c r="B158" s="210"/>
      <c r="C158" s="210"/>
      <c r="D158" s="210"/>
      <c r="E158" s="210"/>
      <c r="F158" s="210"/>
      <c r="G158" s="210"/>
    </row>
    <row r="159" ht="14.25" customHeight="1">
      <c r="A159" s="210"/>
      <c r="B159" s="210"/>
      <c r="C159" s="210"/>
      <c r="D159" s="210"/>
      <c r="E159" s="210"/>
      <c r="F159" s="210"/>
      <c r="G159" s="210"/>
    </row>
    <row r="160" ht="14.25" customHeight="1">
      <c r="A160" s="210"/>
      <c r="B160" s="210"/>
      <c r="C160" s="210"/>
      <c r="D160" s="210"/>
      <c r="E160" s="210"/>
      <c r="F160" s="210"/>
      <c r="G160" s="210"/>
    </row>
    <row r="161" ht="14.25" customHeight="1">
      <c r="A161" s="210"/>
      <c r="B161" s="210"/>
      <c r="C161" s="210"/>
      <c r="D161" s="210"/>
      <c r="E161" s="210"/>
      <c r="F161" s="210"/>
      <c r="G161" s="210"/>
    </row>
    <row r="162" ht="14.25" customHeight="1">
      <c r="A162" s="210"/>
      <c r="B162" s="210"/>
      <c r="C162" s="210"/>
      <c r="D162" s="210"/>
      <c r="E162" s="210"/>
      <c r="F162" s="210"/>
      <c r="G162" s="210"/>
    </row>
    <row r="163" ht="14.25" customHeight="1">
      <c r="A163" s="210"/>
      <c r="B163" s="210"/>
      <c r="C163" s="210"/>
      <c r="D163" s="210"/>
      <c r="E163" s="210"/>
      <c r="F163" s="210"/>
      <c r="G163" s="210"/>
    </row>
    <row r="164" ht="14.25" customHeight="1">
      <c r="A164" s="210"/>
      <c r="B164" s="210"/>
      <c r="C164" s="210"/>
      <c r="D164" s="210"/>
      <c r="E164" s="210"/>
      <c r="F164" s="210"/>
      <c r="G164" s="210"/>
    </row>
    <row r="165" ht="14.25" customHeight="1">
      <c r="A165" s="210"/>
      <c r="B165" s="210"/>
      <c r="C165" s="210"/>
      <c r="D165" s="210"/>
      <c r="E165" s="210"/>
      <c r="F165" s="210"/>
      <c r="G165" s="210"/>
    </row>
    <row r="166" ht="14.25" customHeight="1">
      <c r="A166" s="210"/>
      <c r="B166" s="210"/>
      <c r="C166" s="210"/>
      <c r="D166" s="210"/>
      <c r="E166" s="210"/>
      <c r="F166" s="210"/>
      <c r="G166" s="210"/>
    </row>
    <row r="167" ht="14.25" customHeight="1">
      <c r="A167" s="210"/>
      <c r="B167" s="210"/>
      <c r="C167" s="210"/>
      <c r="D167" s="210"/>
      <c r="E167" s="210"/>
      <c r="F167" s="210"/>
      <c r="G167" s="210"/>
    </row>
    <row r="168" ht="14.25" customHeight="1">
      <c r="A168" s="210"/>
      <c r="B168" s="210"/>
      <c r="C168" s="210"/>
      <c r="D168" s="210"/>
      <c r="E168" s="210"/>
      <c r="F168" s="210"/>
      <c r="G168" s="210"/>
    </row>
    <row r="169" ht="14.25" customHeight="1">
      <c r="A169" s="210"/>
      <c r="B169" s="210"/>
      <c r="C169" s="210"/>
      <c r="D169" s="210"/>
      <c r="E169" s="210"/>
      <c r="F169" s="210"/>
      <c r="G169" s="210"/>
    </row>
    <row r="170" ht="14.25" customHeight="1">
      <c r="A170" s="210"/>
      <c r="B170" s="210"/>
      <c r="C170" s="210"/>
      <c r="D170" s="210"/>
      <c r="E170" s="210"/>
      <c r="F170" s="210"/>
      <c r="G170" s="210"/>
    </row>
    <row r="171" ht="14.25" customHeight="1">
      <c r="A171" s="210"/>
      <c r="B171" s="210"/>
      <c r="C171" s="210"/>
      <c r="D171" s="210"/>
      <c r="E171" s="210"/>
      <c r="F171" s="210"/>
      <c r="G171" s="210"/>
    </row>
    <row r="172" ht="14.25" customHeight="1">
      <c r="A172" s="210"/>
      <c r="B172" s="210"/>
      <c r="C172" s="210"/>
      <c r="D172" s="210"/>
      <c r="E172" s="210"/>
      <c r="F172" s="210"/>
      <c r="G172" s="210"/>
    </row>
    <row r="173" ht="14.25" customHeight="1">
      <c r="A173" s="210"/>
      <c r="B173" s="210"/>
      <c r="C173" s="210"/>
      <c r="D173" s="210"/>
      <c r="E173" s="210"/>
      <c r="F173" s="210"/>
      <c r="G173" s="210"/>
    </row>
    <row r="174" ht="14.25" customHeight="1">
      <c r="A174" s="210"/>
      <c r="B174" s="210"/>
      <c r="C174" s="210"/>
      <c r="D174" s="210"/>
      <c r="E174" s="210"/>
      <c r="F174" s="210"/>
      <c r="G174" s="210"/>
    </row>
    <row r="175" ht="14.25" customHeight="1">
      <c r="A175" s="210"/>
      <c r="B175" s="210"/>
      <c r="C175" s="210"/>
      <c r="D175" s="210"/>
      <c r="E175" s="210"/>
      <c r="F175" s="210"/>
      <c r="G175" s="210"/>
    </row>
    <row r="176" ht="14.25" customHeight="1">
      <c r="A176" s="210"/>
      <c r="B176" s="210"/>
      <c r="C176" s="210"/>
      <c r="D176" s="210"/>
      <c r="E176" s="210"/>
      <c r="F176" s="210"/>
      <c r="G176" s="210"/>
    </row>
    <row r="177" ht="14.25" customHeight="1">
      <c r="A177" s="210"/>
      <c r="B177" s="210"/>
      <c r="C177" s="210"/>
      <c r="D177" s="210"/>
      <c r="E177" s="210"/>
      <c r="F177" s="210"/>
      <c r="G177" s="210"/>
    </row>
    <row r="178" ht="14.25" customHeight="1">
      <c r="A178" s="210"/>
      <c r="B178" s="210"/>
      <c r="C178" s="210"/>
      <c r="D178" s="210"/>
      <c r="E178" s="210"/>
      <c r="F178" s="210"/>
      <c r="G178" s="210"/>
    </row>
    <row r="179" ht="14.25" customHeight="1">
      <c r="A179" s="210"/>
      <c r="B179" s="210"/>
      <c r="C179" s="210"/>
      <c r="D179" s="210"/>
      <c r="E179" s="210"/>
      <c r="F179" s="210"/>
      <c r="G179" s="210"/>
    </row>
    <row r="180" ht="14.25" customHeight="1">
      <c r="A180" s="210"/>
      <c r="B180" s="210"/>
      <c r="C180" s="210"/>
      <c r="D180" s="210"/>
      <c r="E180" s="210"/>
      <c r="F180" s="210"/>
      <c r="G180" s="210"/>
    </row>
    <row r="181" ht="14.25" customHeight="1">
      <c r="A181" s="210"/>
      <c r="B181" s="210"/>
      <c r="C181" s="210"/>
      <c r="D181" s="210"/>
      <c r="E181" s="210"/>
      <c r="F181" s="210"/>
      <c r="G181" s="210"/>
    </row>
    <row r="182" ht="14.25" customHeight="1">
      <c r="A182" s="210"/>
      <c r="B182" s="210"/>
      <c r="C182" s="210"/>
      <c r="D182" s="210"/>
      <c r="E182" s="210"/>
      <c r="F182" s="210"/>
      <c r="G182" s="210"/>
    </row>
    <row r="183" ht="14.25" customHeight="1">
      <c r="A183" s="210"/>
      <c r="B183" s="210"/>
      <c r="C183" s="210"/>
      <c r="D183" s="210"/>
      <c r="E183" s="210"/>
      <c r="F183" s="210"/>
      <c r="G183" s="210"/>
    </row>
    <row r="184" ht="14.25" customHeight="1">
      <c r="A184" s="210"/>
      <c r="B184" s="210"/>
      <c r="C184" s="210"/>
      <c r="D184" s="210"/>
      <c r="E184" s="210"/>
      <c r="F184" s="210"/>
      <c r="G184" s="210"/>
    </row>
    <row r="185" ht="14.25" customHeight="1">
      <c r="A185" s="210"/>
      <c r="B185" s="210"/>
      <c r="C185" s="210"/>
      <c r="D185" s="210"/>
      <c r="E185" s="210"/>
      <c r="F185" s="210"/>
      <c r="G185" s="210"/>
    </row>
    <row r="186" ht="14.25" customHeight="1">
      <c r="A186" s="210"/>
      <c r="B186" s="210"/>
      <c r="C186" s="210"/>
      <c r="D186" s="210"/>
      <c r="E186" s="210"/>
      <c r="F186" s="210"/>
      <c r="G186" s="210"/>
    </row>
    <row r="187" ht="14.25" customHeight="1">
      <c r="A187" s="210"/>
      <c r="B187" s="210"/>
      <c r="C187" s="210"/>
      <c r="D187" s="210"/>
      <c r="E187" s="210"/>
      <c r="F187" s="210"/>
      <c r="G187" s="210"/>
    </row>
    <row r="188" ht="14.25" customHeight="1">
      <c r="A188" s="210"/>
      <c r="B188" s="210"/>
      <c r="C188" s="210"/>
      <c r="D188" s="210"/>
      <c r="E188" s="210"/>
      <c r="F188" s="210"/>
      <c r="G188" s="210"/>
    </row>
    <row r="189" ht="14.25" customHeight="1">
      <c r="A189" s="210"/>
      <c r="B189" s="210"/>
      <c r="C189" s="210"/>
      <c r="D189" s="210"/>
      <c r="E189" s="210"/>
      <c r="F189" s="210"/>
      <c r="G189" s="210"/>
    </row>
    <row r="190" ht="14.25" customHeight="1">
      <c r="A190" s="210"/>
      <c r="B190" s="210"/>
      <c r="C190" s="210"/>
      <c r="D190" s="210"/>
      <c r="E190" s="210"/>
      <c r="F190" s="210"/>
      <c r="G190" s="210"/>
    </row>
    <row r="191" ht="14.25" customHeight="1">
      <c r="A191" s="210"/>
      <c r="B191" s="210"/>
      <c r="C191" s="210"/>
      <c r="D191" s="210"/>
      <c r="E191" s="210"/>
      <c r="F191" s="210"/>
      <c r="G191" s="210"/>
    </row>
    <row r="192" ht="14.25" customHeight="1">
      <c r="A192" s="210"/>
      <c r="B192" s="210"/>
      <c r="C192" s="210"/>
      <c r="D192" s="210"/>
      <c r="E192" s="210"/>
      <c r="F192" s="210"/>
      <c r="G192" s="210"/>
    </row>
    <row r="193" ht="14.25" customHeight="1">
      <c r="A193" s="210"/>
      <c r="B193" s="210"/>
      <c r="C193" s="210"/>
      <c r="D193" s="210"/>
      <c r="E193" s="210"/>
      <c r="F193" s="210"/>
      <c r="G193" s="210"/>
    </row>
    <row r="194" ht="14.25" customHeight="1">
      <c r="A194" s="210"/>
      <c r="B194" s="210"/>
      <c r="C194" s="210"/>
      <c r="D194" s="210"/>
      <c r="E194" s="210"/>
      <c r="F194" s="210"/>
      <c r="G194" s="210"/>
    </row>
    <row r="195" ht="14.25" customHeight="1">
      <c r="A195" s="210"/>
      <c r="B195" s="210"/>
      <c r="C195" s="210"/>
      <c r="D195" s="210"/>
      <c r="E195" s="210"/>
      <c r="F195" s="210"/>
      <c r="G195" s="210"/>
    </row>
    <row r="196" ht="14.25" customHeight="1">
      <c r="A196" s="210"/>
      <c r="B196" s="210"/>
      <c r="C196" s="210"/>
      <c r="D196" s="210"/>
      <c r="E196" s="210"/>
      <c r="F196" s="210"/>
      <c r="G196" s="210"/>
    </row>
    <row r="197" ht="14.25" customHeight="1">
      <c r="A197" s="210"/>
      <c r="B197" s="210"/>
      <c r="C197" s="210"/>
      <c r="D197" s="210"/>
      <c r="E197" s="210"/>
      <c r="F197" s="210"/>
      <c r="G197" s="210"/>
    </row>
    <row r="198" ht="14.25" customHeight="1">
      <c r="A198" s="210"/>
      <c r="B198" s="210"/>
      <c r="C198" s="210"/>
      <c r="D198" s="210"/>
      <c r="E198" s="210"/>
      <c r="F198" s="210"/>
      <c r="G198" s="210"/>
    </row>
    <row r="199" ht="14.25" customHeight="1">
      <c r="A199" s="210"/>
      <c r="B199" s="210"/>
      <c r="C199" s="210"/>
      <c r="D199" s="210"/>
      <c r="E199" s="210"/>
      <c r="F199" s="210"/>
      <c r="G199" s="210"/>
    </row>
    <row r="200" ht="14.25" customHeight="1">
      <c r="A200" s="210"/>
      <c r="B200" s="210"/>
      <c r="C200" s="210"/>
      <c r="D200" s="210"/>
      <c r="E200" s="210"/>
      <c r="F200" s="210"/>
      <c r="G200" s="210"/>
    </row>
    <row r="201" ht="14.25" customHeight="1">
      <c r="A201" s="210"/>
      <c r="B201" s="210"/>
      <c r="C201" s="210"/>
      <c r="D201" s="210"/>
      <c r="E201" s="210"/>
      <c r="F201" s="210"/>
      <c r="G201" s="210"/>
    </row>
    <row r="202" ht="14.25" customHeight="1">
      <c r="A202" s="210"/>
      <c r="B202" s="210"/>
      <c r="C202" s="210"/>
      <c r="D202" s="210"/>
      <c r="E202" s="210"/>
      <c r="F202" s="210"/>
      <c r="G202" s="210"/>
    </row>
    <row r="203" ht="14.25" customHeight="1">
      <c r="A203" s="210"/>
      <c r="B203" s="210"/>
      <c r="C203" s="210"/>
      <c r="D203" s="210"/>
      <c r="E203" s="210"/>
      <c r="F203" s="210"/>
      <c r="G203" s="210"/>
    </row>
    <row r="204" ht="14.25" customHeight="1">
      <c r="A204" s="210"/>
      <c r="B204" s="210"/>
      <c r="C204" s="210"/>
      <c r="D204" s="210"/>
      <c r="E204" s="210"/>
      <c r="F204" s="210"/>
      <c r="G204" s="210"/>
    </row>
    <row r="205" ht="14.25" customHeight="1">
      <c r="A205" s="210"/>
      <c r="B205" s="210"/>
      <c r="C205" s="210"/>
      <c r="D205" s="210"/>
      <c r="E205" s="210"/>
      <c r="F205" s="210"/>
      <c r="G205" s="210"/>
    </row>
    <row r="206" ht="14.25" customHeight="1">
      <c r="A206" s="210"/>
      <c r="B206" s="210"/>
      <c r="C206" s="210"/>
      <c r="D206" s="210"/>
      <c r="E206" s="210"/>
      <c r="F206" s="210"/>
      <c r="G206" s="210"/>
    </row>
    <row r="207" ht="14.25" customHeight="1">
      <c r="A207" s="210"/>
      <c r="B207" s="210"/>
      <c r="C207" s="210"/>
      <c r="D207" s="210"/>
      <c r="E207" s="210"/>
      <c r="F207" s="210"/>
      <c r="G207" s="210"/>
    </row>
    <row r="208" ht="14.25" customHeight="1">
      <c r="A208" s="210"/>
      <c r="B208" s="210"/>
      <c r="C208" s="210"/>
      <c r="D208" s="210"/>
      <c r="E208" s="210"/>
      <c r="F208" s="210"/>
      <c r="G208" s="210"/>
    </row>
    <row r="209" ht="14.25" customHeight="1">
      <c r="A209" s="210"/>
      <c r="B209" s="210"/>
      <c r="C209" s="210"/>
      <c r="D209" s="210"/>
      <c r="E209" s="210"/>
      <c r="F209" s="210"/>
      <c r="G209" s="210"/>
    </row>
    <row r="210" ht="14.25" customHeight="1">
      <c r="A210" s="210"/>
      <c r="B210" s="210"/>
      <c r="C210" s="210"/>
      <c r="D210" s="210"/>
      <c r="E210" s="210"/>
      <c r="F210" s="210"/>
      <c r="G210" s="210"/>
    </row>
    <row r="211" ht="14.25" customHeight="1">
      <c r="A211" s="210"/>
      <c r="B211" s="210"/>
      <c r="C211" s="210"/>
      <c r="D211" s="210"/>
      <c r="E211" s="210"/>
      <c r="F211" s="210"/>
      <c r="G211" s="210"/>
    </row>
    <row r="212" ht="14.25" customHeight="1">
      <c r="A212" s="210"/>
      <c r="B212" s="210"/>
      <c r="C212" s="210"/>
      <c r="D212" s="210"/>
      <c r="E212" s="210"/>
      <c r="F212" s="210"/>
      <c r="G212" s="210"/>
    </row>
    <row r="213" ht="14.25" customHeight="1">
      <c r="A213" s="210"/>
      <c r="B213" s="210"/>
      <c r="C213" s="210"/>
      <c r="D213" s="210"/>
      <c r="E213" s="210"/>
      <c r="F213" s="210"/>
      <c r="G213" s="210"/>
    </row>
    <row r="214" ht="14.25" customHeight="1">
      <c r="A214" s="210"/>
      <c r="B214" s="210"/>
      <c r="C214" s="210"/>
      <c r="D214" s="210"/>
      <c r="E214" s="210"/>
      <c r="F214" s="210"/>
      <c r="G214" s="210"/>
    </row>
    <row r="215" ht="14.25" customHeight="1">
      <c r="A215" s="210"/>
      <c r="B215" s="210"/>
      <c r="C215" s="210"/>
      <c r="D215" s="210"/>
      <c r="E215" s="210"/>
      <c r="F215" s="210"/>
      <c r="G215" s="210"/>
    </row>
    <row r="216" ht="14.25" customHeight="1">
      <c r="A216" s="210"/>
      <c r="B216" s="210"/>
      <c r="C216" s="210"/>
      <c r="D216" s="210"/>
      <c r="E216" s="210"/>
      <c r="F216" s="210"/>
      <c r="G216" s="210"/>
    </row>
    <row r="217" ht="14.25" customHeight="1">
      <c r="A217" s="210"/>
      <c r="B217" s="210"/>
      <c r="C217" s="210"/>
      <c r="D217" s="210"/>
      <c r="E217" s="210"/>
      <c r="F217" s="210"/>
      <c r="G217" s="210"/>
    </row>
    <row r="218" ht="14.25" customHeight="1">
      <c r="A218" s="210"/>
      <c r="B218" s="210"/>
      <c r="C218" s="210"/>
      <c r="D218" s="210"/>
      <c r="E218" s="210"/>
      <c r="F218" s="210"/>
      <c r="G218" s="210"/>
    </row>
    <row r="219" ht="14.25" customHeight="1">
      <c r="A219" s="210"/>
      <c r="B219" s="210"/>
      <c r="C219" s="210"/>
      <c r="D219" s="210"/>
      <c r="E219" s="210"/>
      <c r="F219" s="210"/>
      <c r="G219" s="210"/>
    </row>
    <row r="220" ht="14.25" customHeight="1">
      <c r="A220" s="210"/>
      <c r="B220" s="210"/>
      <c r="C220" s="210"/>
      <c r="D220" s="210"/>
      <c r="E220" s="210"/>
      <c r="F220" s="210"/>
      <c r="G220" s="210"/>
    </row>
    <row r="221" ht="14.25" customHeight="1">
      <c r="A221" s="210"/>
      <c r="B221" s="210"/>
      <c r="C221" s="210"/>
      <c r="D221" s="210"/>
      <c r="E221" s="210"/>
      <c r="F221" s="210"/>
      <c r="G221" s="210"/>
    </row>
    <row r="222" ht="14.25" customHeight="1">
      <c r="A222" s="210"/>
      <c r="B222" s="210"/>
      <c r="C222" s="210"/>
      <c r="D222" s="210"/>
      <c r="E222" s="210"/>
      <c r="F222" s="210"/>
      <c r="G222" s="210"/>
    </row>
    <row r="223" ht="14.25" customHeight="1">
      <c r="A223" s="210"/>
      <c r="B223" s="210"/>
      <c r="C223" s="210"/>
      <c r="D223" s="210"/>
      <c r="E223" s="210"/>
      <c r="F223" s="210"/>
      <c r="G223" s="210"/>
    </row>
    <row r="224" ht="14.25" customHeight="1">
      <c r="A224" s="210"/>
      <c r="B224" s="210"/>
      <c r="C224" s="210"/>
      <c r="D224" s="210"/>
      <c r="E224" s="210"/>
      <c r="F224" s="210"/>
      <c r="G224" s="210"/>
    </row>
    <row r="225" ht="14.25" customHeight="1">
      <c r="A225" s="210"/>
      <c r="B225" s="210"/>
      <c r="C225" s="210"/>
      <c r="D225" s="210"/>
      <c r="E225" s="210"/>
      <c r="F225" s="210"/>
      <c r="G225" s="210"/>
    </row>
    <row r="226" ht="14.25" customHeight="1">
      <c r="A226" s="210"/>
      <c r="B226" s="210"/>
      <c r="C226" s="210"/>
      <c r="D226" s="210"/>
      <c r="E226" s="210"/>
      <c r="F226" s="210"/>
      <c r="G226" s="210"/>
    </row>
    <row r="227" ht="14.25" customHeight="1">
      <c r="A227" s="210"/>
      <c r="B227" s="210"/>
      <c r="C227" s="210"/>
      <c r="D227" s="210"/>
      <c r="E227" s="210"/>
      <c r="F227" s="210"/>
      <c r="G227" s="210"/>
    </row>
    <row r="228" ht="14.25" customHeight="1">
      <c r="A228" s="210"/>
      <c r="B228" s="210"/>
      <c r="C228" s="210"/>
      <c r="D228" s="210"/>
      <c r="E228" s="210"/>
      <c r="F228" s="210"/>
      <c r="G228" s="210"/>
    </row>
    <row r="229" ht="14.25" customHeight="1">
      <c r="A229" s="210"/>
      <c r="B229" s="210"/>
      <c r="C229" s="210"/>
      <c r="D229" s="210"/>
      <c r="E229" s="210"/>
      <c r="F229" s="210"/>
      <c r="G229" s="210"/>
    </row>
    <row r="230" ht="14.25" customHeight="1">
      <c r="A230" s="210"/>
      <c r="B230" s="210"/>
      <c r="C230" s="210"/>
      <c r="D230" s="210"/>
      <c r="E230" s="210"/>
      <c r="F230" s="210"/>
      <c r="G230" s="210"/>
    </row>
    <row r="231" ht="14.25" customHeight="1">
      <c r="A231" s="210"/>
      <c r="B231" s="210"/>
      <c r="C231" s="210"/>
      <c r="D231" s="210"/>
      <c r="E231" s="210"/>
      <c r="F231" s="210"/>
      <c r="G231" s="210"/>
    </row>
    <row r="232" ht="14.25" customHeight="1">
      <c r="A232" s="210"/>
      <c r="B232" s="210"/>
      <c r="C232" s="210"/>
      <c r="D232" s="210"/>
      <c r="E232" s="210"/>
      <c r="F232" s="210"/>
      <c r="G232" s="210"/>
    </row>
    <row r="233" ht="14.25" customHeight="1">
      <c r="A233" s="210"/>
      <c r="B233" s="210"/>
      <c r="C233" s="210"/>
      <c r="D233" s="210"/>
      <c r="E233" s="210"/>
      <c r="F233" s="210"/>
      <c r="G233" s="210"/>
    </row>
    <row r="234" ht="14.25" customHeight="1">
      <c r="A234" s="210"/>
      <c r="B234" s="210"/>
      <c r="C234" s="210"/>
      <c r="D234" s="210"/>
      <c r="E234" s="210"/>
      <c r="F234" s="210"/>
      <c r="G234" s="210"/>
    </row>
    <row r="235" ht="14.25" customHeight="1">
      <c r="A235" s="210"/>
      <c r="B235" s="210"/>
      <c r="C235" s="210"/>
      <c r="D235" s="210"/>
      <c r="E235" s="210"/>
      <c r="F235" s="210"/>
      <c r="G235" s="210"/>
    </row>
    <row r="236" ht="14.25" customHeight="1">
      <c r="A236" s="210"/>
      <c r="B236" s="210"/>
      <c r="C236" s="210"/>
      <c r="D236" s="210"/>
      <c r="E236" s="210"/>
      <c r="F236" s="210"/>
      <c r="G236" s="210"/>
    </row>
    <row r="237" ht="14.25" customHeight="1">
      <c r="A237" s="210"/>
      <c r="B237" s="210"/>
      <c r="C237" s="210"/>
      <c r="D237" s="210"/>
      <c r="E237" s="210"/>
      <c r="F237" s="210"/>
      <c r="G237" s="210"/>
    </row>
    <row r="238" ht="14.25" customHeight="1">
      <c r="A238" s="210"/>
      <c r="B238" s="210"/>
      <c r="C238" s="210"/>
      <c r="D238" s="210"/>
      <c r="E238" s="210"/>
      <c r="F238" s="210"/>
      <c r="G238" s="210"/>
    </row>
    <row r="239" ht="14.25" customHeight="1">
      <c r="A239" s="210"/>
      <c r="B239" s="210"/>
      <c r="C239" s="210"/>
      <c r="D239" s="210"/>
      <c r="E239" s="210"/>
      <c r="F239" s="210"/>
      <c r="G239" s="210"/>
    </row>
    <row r="240" ht="14.25" customHeight="1">
      <c r="A240" s="210"/>
      <c r="B240" s="210"/>
      <c r="C240" s="210"/>
      <c r="D240" s="210"/>
      <c r="E240" s="210"/>
      <c r="F240" s="210"/>
      <c r="G240" s="210"/>
    </row>
    <row r="241" ht="14.25" customHeight="1">
      <c r="A241" s="210"/>
      <c r="B241" s="210"/>
      <c r="C241" s="210"/>
      <c r="D241" s="210"/>
      <c r="E241" s="210"/>
      <c r="F241" s="210"/>
      <c r="G241" s="210"/>
    </row>
    <row r="242" ht="14.25" customHeight="1">
      <c r="A242" s="210"/>
      <c r="B242" s="210"/>
      <c r="C242" s="210"/>
      <c r="D242" s="210"/>
      <c r="E242" s="210"/>
      <c r="F242" s="210"/>
      <c r="G242" s="210"/>
    </row>
    <row r="243" ht="14.25" customHeight="1">
      <c r="A243" s="210"/>
      <c r="B243" s="210"/>
      <c r="C243" s="210"/>
      <c r="D243" s="210"/>
      <c r="E243" s="210"/>
      <c r="F243" s="210"/>
      <c r="G243" s="210"/>
    </row>
    <row r="244" ht="14.25" customHeight="1">
      <c r="A244" s="210"/>
      <c r="B244" s="210"/>
      <c r="C244" s="210"/>
      <c r="D244" s="210"/>
      <c r="E244" s="210"/>
      <c r="F244" s="210"/>
      <c r="G244" s="210"/>
    </row>
    <row r="245" ht="14.25" customHeight="1">
      <c r="A245" s="210"/>
      <c r="B245" s="210"/>
      <c r="C245" s="210"/>
      <c r="D245" s="210"/>
      <c r="E245" s="210"/>
      <c r="F245" s="210"/>
      <c r="G245" s="210"/>
    </row>
    <row r="246" ht="14.25" customHeight="1">
      <c r="A246" s="210"/>
      <c r="B246" s="210"/>
      <c r="C246" s="210"/>
      <c r="D246" s="210"/>
      <c r="E246" s="210"/>
      <c r="F246" s="210"/>
      <c r="G246" s="210"/>
    </row>
    <row r="247" ht="14.25" customHeight="1">
      <c r="A247" s="210"/>
      <c r="B247" s="210"/>
      <c r="C247" s="210"/>
      <c r="D247" s="210"/>
      <c r="E247" s="210"/>
      <c r="F247" s="210"/>
      <c r="G247" s="210"/>
    </row>
    <row r="248" ht="14.25" customHeight="1">
      <c r="A248" s="210"/>
      <c r="B248" s="210"/>
      <c r="C248" s="210"/>
      <c r="D248" s="210"/>
      <c r="E248" s="210"/>
      <c r="F248" s="210"/>
      <c r="G248" s="210"/>
    </row>
    <row r="249" ht="14.25" customHeight="1">
      <c r="A249" s="210"/>
      <c r="B249" s="210"/>
      <c r="C249" s="210"/>
      <c r="D249" s="210"/>
      <c r="E249" s="210"/>
      <c r="F249" s="210"/>
      <c r="G249" s="210"/>
    </row>
    <row r="250" ht="14.25" customHeight="1">
      <c r="A250" s="210"/>
      <c r="B250" s="210"/>
      <c r="C250" s="210"/>
      <c r="D250" s="210"/>
      <c r="E250" s="210"/>
      <c r="F250" s="210"/>
      <c r="G250" s="210"/>
    </row>
    <row r="251" ht="14.25" customHeight="1">
      <c r="A251" s="210"/>
      <c r="B251" s="210"/>
      <c r="C251" s="210"/>
      <c r="D251" s="210"/>
      <c r="E251" s="210"/>
      <c r="F251" s="210"/>
      <c r="G251" s="210"/>
    </row>
    <row r="252" ht="14.25" customHeight="1">
      <c r="A252" s="210"/>
      <c r="B252" s="210"/>
      <c r="C252" s="210"/>
      <c r="D252" s="210"/>
      <c r="E252" s="210"/>
      <c r="F252" s="210"/>
      <c r="G252" s="210"/>
    </row>
    <row r="253" ht="14.25" customHeight="1">
      <c r="A253" s="210"/>
      <c r="B253" s="210"/>
      <c r="C253" s="210"/>
      <c r="D253" s="210"/>
      <c r="E253" s="210"/>
      <c r="F253" s="210"/>
      <c r="G253" s="210"/>
    </row>
    <row r="254" ht="14.25" customHeight="1">
      <c r="A254" s="210"/>
      <c r="B254" s="210"/>
      <c r="C254" s="210"/>
      <c r="D254" s="210"/>
      <c r="E254" s="210"/>
      <c r="F254" s="210"/>
      <c r="G254" s="210"/>
    </row>
    <row r="255" ht="15.75" customHeight="1">
      <c r="A255" s="210"/>
      <c r="B255" s="210"/>
      <c r="C255" s="210"/>
      <c r="D255" s="210"/>
      <c r="E255" s="210"/>
      <c r="F255" s="210"/>
      <c r="G255" s="210"/>
    </row>
    <row r="256" ht="15.75" customHeight="1">
      <c r="A256" s="210"/>
      <c r="B256" s="210"/>
      <c r="C256" s="210"/>
      <c r="D256" s="210"/>
      <c r="E256" s="210"/>
      <c r="F256" s="210"/>
      <c r="G256" s="210"/>
    </row>
    <row r="257" ht="15.75" customHeight="1">
      <c r="A257" s="210"/>
      <c r="B257" s="210"/>
      <c r="C257" s="210"/>
      <c r="D257" s="210"/>
      <c r="E257" s="210"/>
      <c r="F257" s="210"/>
      <c r="G257" s="210"/>
    </row>
    <row r="258" ht="15.75" customHeight="1">
      <c r="A258" s="210"/>
      <c r="B258" s="210"/>
      <c r="C258" s="210"/>
      <c r="D258" s="210"/>
      <c r="E258" s="210"/>
      <c r="F258" s="210"/>
      <c r="G258" s="210"/>
    </row>
    <row r="259" ht="15.75" customHeight="1">
      <c r="A259" s="210"/>
      <c r="B259" s="210"/>
      <c r="C259" s="210"/>
      <c r="D259" s="210"/>
      <c r="E259" s="210"/>
      <c r="F259" s="210"/>
      <c r="G259" s="210"/>
    </row>
    <row r="260" ht="15.75" customHeight="1">
      <c r="A260" s="210"/>
      <c r="B260" s="210"/>
      <c r="C260" s="210"/>
      <c r="D260" s="210"/>
      <c r="E260" s="210"/>
      <c r="F260" s="210"/>
      <c r="G260" s="210"/>
    </row>
    <row r="261" ht="15.75" customHeight="1">
      <c r="A261" s="210"/>
      <c r="B261" s="210"/>
      <c r="C261" s="210"/>
      <c r="D261" s="210"/>
      <c r="E261" s="210"/>
      <c r="F261" s="210"/>
      <c r="G261" s="210"/>
    </row>
    <row r="262" ht="15.75" customHeight="1">
      <c r="A262" s="210"/>
      <c r="B262" s="210"/>
      <c r="C262" s="210"/>
      <c r="D262" s="210"/>
      <c r="E262" s="210"/>
      <c r="F262" s="210"/>
      <c r="G262" s="210"/>
    </row>
    <row r="263" ht="15.75" customHeight="1">
      <c r="A263" s="210"/>
      <c r="B263" s="210"/>
      <c r="C263" s="210"/>
      <c r="D263" s="210"/>
      <c r="E263" s="210"/>
      <c r="F263" s="210"/>
      <c r="G263" s="210"/>
    </row>
    <row r="264" ht="15.75" customHeight="1">
      <c r="A264" s="210"/>
      <c r="B264" s="210"/>
      <c r="C264" s="210"/>
      <c r="D264" s="210"/>
      <c r="E264" s="210"/>
      <c r="F264" s="210"/>
      <c r="G264" s="210"/>
    </row>
    <row r="265" ht="15.75" customHeight="1">
      <c r="A265" s="210"/>
      <c r="B265" s="210"/>
      <c r="C265" s="210"/>
      <c r="D265" s="210"/>
      <c r="E265" s="210"/>
      <c r="F265" s="210"/>
      <c r="G265" s="210"/>
    </row>
    <row r="266" ht="15.75" customHeight="1">
      <c r="A266" s="210"/>
      <c r="B266" s="210"/>
      <c r="C266" s="210"/>
      <c r="D266" s="210"/>
      <c r="E266" s="210"/>
      <c r="F266" s="210"/>
      <c r="G266" s="210"/>
    </row>
    <row r="267" ht="15.75" customHeight="1">
      <c r="A267" s="210"/>
      <c r="B267" s="210"/>
      <c r="C267" s="210"/>
      <c r="D267" s="210"/>
      <c r="E267" s="210"/>
      <c r="F267" s="210"/>
      <c r="G267" s="210"/>
    </row>
    <row r="268" ht="15.75" customHeight="1">
      <c r="A268" s="210"/>
      <c r="B268" s="210"/>
      <c r="C268" s="210"/>
      <c r="D268" s="210"/>
      <c r="E268" s="210"/>
      <c r="F268" s="210"/>
      <c r="G268" s="210"/>
    </row>
    <row r="269" ht="15.75" customHeight="1">
      <c r="A269" s="210"/>
      <c r="B269" s="210"/>
      <c r="C269" s="210"/>
      <c r="D269" s="210"/>
      <c r="E269" s="210"/>
      <c r="F269" s="210"/>
      <c r="G269" s="210"/>
    </row>
    <row r="270" ht="15.75" customHeight="1">
      <c r="A270" s="210"/>
      <c r="B270" s="210"/>
      <c r="C270" s="210"/>
      <c r="D270" s="210"/>
      <c r="E270" s="210"/>
      <c r="F270" s="210"/>
      <c r="G270" s="210"/>
    </row>
    <row r="271" ht="15.75" customHeight="1">
      <c r="A271" s="210"/>
      <c r="B271" s="210"/>
      <c r="C271" s="210"/>
      <c r="D271" s="210"/>
      <c r="E271" s="210"/>
      <c r="F271" s="210"/>
      <c r="G271" s="210"/>
    </row>
    <row r="272" ht="15.75" customHeight="1">
      <c r="A272" s="210"/>
      <c r="B272" s="210"/>
      <c r="C272" s="210"/>
      <c r="D272" s="210"/>
      <c r="E272" s="210"/>
      <c r="F272" s="210"/>
      <c r="G272" s="210"/>
    </row>
    <row r="273" ht="15.75" customHeight="1">
      <c r="A273" s="210"/>
      <c r="B273" s="210"/>
      <c r="C273" s="210"/>
      <c r="D273" s="210"/>
      <c r="E273" s="210"/>
      <c r="F273" s="210"/>
      <c r="G273" s="210"/>
    </row>
    <row r="274" ht="15.75" customHeight="1">
      <c r="A274" s="210"/>
      <c r="B274" s="210"/>
      <c r="C274" s="210"/>
      <c r="D274" s="210"/>
      <c r="E274" s="210"/>
      <c r="F274" s="210"/>
      <c r="G274" s="210"/>
    </row>
    <row r="275" ht="15.75" customHeight="1">
      <c r="A275" s="210"/>
      <c r="B275" s="210"/>
      <c r="C275" s="210"/>
      <c r="D275" s="210"/>
      <c r="E275" s="210"/>
      <c r="F275" s="210"/>
      <c r="G275" s="210"/>
    </row>
    <row r="276" ht="15.75" customHeight="1">
      <c r="A276" s="210"/>
      <c r="B276" s="210"/>
      <c r="C276" s="210"/>
      <c r="D276" s="210"/>
      <c r="E276" s="210"/>
      <c r="F276" s="210"/>
      <c r="G276" s="210"/>
    </row>
    <row r="277" ht="15.75" customHeight="1">
      <c r="A277" s="210"/>
      <c r="B277" s="210"/>
      <c r="C277" s="210"/>
      <c r="D277" s="210"/>
      <c r="E277" s="210"/>
      <c r="F277" s="210"/>
      <c r="G277" s="210"/>
    </row>
    <row r="278" ht="15.75" customHeight="1">
      <c r="A278" s="210"/>
      <c r="B278" s="210"/>
      <c r="C278" s="210"/>
      <c r="D278" s="210"/>
      <c r="E278" s="210"/>
      <c r="F278" s="210"/>
      <c r="G278" s="210"/>
    </row>
    <row r="279" ht="15.75" customHeight="1">
      <c r="A279" s="210"/>
      <c r="B279" s="210"/>
      <c r="C279" s="210"/>
      <c r="D279" s="210"/>
      <c r="E279" s="210"/>
      <c r="F279" s="210"/>
      <c r="G279" s="210"/>
    </row>
    <row r="280" ht="15.75" customHeight="1">
      <c r="A280" s="210"/>
      <c r="B280" s="210"/>
      <c r="C280" s="210"/>
      <c r="D280" s="210"/>
      <c r="E280" s="210"/>
      <c r="F280" s="210"/>
      <c r="G280" s="210"/>
    </row>
    <row r="281" ht="15.75" customHeight="1">
      <c r="A281" s="210"/>
      <c r="B281" s="210"/>
      <c r="C281" s="210"/>
      <c r="D281" s="210"/>
      <c r="E281" s="210"/>
      <c r="F281" s="210"/>
      <c r="G281" s="210"/>
    </row>
    <row r="282" ht="15.75" customHeight="1">
      <c r="A282" s="210"/>
      <c r="B282" s="210"/>
      <c r="C282" s="210"/>
      <c r="D282" s="210"/>
      <c r="E282" s="210"/>
      <c r="F282" s="210"/>
      <c r="G282" s="210"/>
    </row>
    <row r="283" ht="15.75" customHeight="1">
      <c r="A283" s="210"/>
      <c r="B283" s="210"/>
      <c r="C283" s="210"/>
      <c r="D283" s="210"/>
      <c r="E283" s="210"/>
      <c r="F283" s="210"/>
      <c r="G283" s="210"/>
    </row>
    <row r="284" ht="15.75" customHeight="1">
      <c r="A284" s="210"/>
      <c r="B284" s="210"/>
      <c r="C284" s="210"/>
      <c r="D284" s="210"/>
      <c r="E284" s="210"/>
      <c r="F284" s="210"/>
      <c r="G284" s="210"/>
    </row>
    <row r="285" ht="15.75" customHeight="1">
      <c r="A285" s="210"/>
      <c r="B285" s="210"/>
      <c r="C285" s="210"/>
      <c r="D285" s="210"/>
      <c r="E285" s="210"/>
      <c r="F285" s="210"/>
      <c r="G285" s="210"/>
    </row>
    <row r="286" ht="15.75" customHeight="1">
      <c r="A286" s="210"/>
      <c r="B286" s="210"/>
      <c r="C286" s="210"/>
      <c r="D286" s="210"/>
      <c r="E286" s="210"/>
      <c r="F286" s="210"/>
      <c r="G286" s="210"/>
    </row>
    <row r="287" ht="15.75" customHeight="1">
      <c r="A287" s="210"/>
      <c r="B287" s="210"/>
      <c r="C287" s="210"/>
      <c r="D287" s="210"/>
      <c r="E287" s="210"/>
      <c r="F287" s="210"/>
      <c r="G287" s="210"/>
    </row>
    <row r="288" ht="15.75" customHeight="1">
      <c r="A288" s="210"/>
      <c r="B288" s="210"/>
      <c r="C288" s="210"/>
      <c r="D288" s="210"/>
      <c r="E288" s="210"/>
      <c r="F288" s="210"/>
      <c r="G288" s="210"/>
    </row>
    <row r="289" ht="15.75" customHeight="1">
      <c r="A289" s="210"/>
      <c r="B289" s="210"/>
      <c r="C289" s="210"/>
      <c r="D289" s="210"/>
      <c r="E289" s="210"/>
      <c r="F289" s="210"/>
      <c r="G289" s="210"/>
    </row>
    <row r="290" ht="15.75" customHeight="1">
      <c r="A290" s="210"/>
      <c r="B290" s="210"/>
      <c r="C290" s="210"/>
      <c r="D290" s="210"/>
      <c r="E290" s="210"/>
      <c r="F290" s="210"/>
      <c r="G290" s="210"/>
    </row>
    <row r="291" ht="15.75" customHeight="1">
      <c r="A291" s="210"/>
      <c r="B291" s="210"/>
      <c r="C291" s="210"/>
      <c r="D291" s="210"/>
      <c r="E291" s="210"/>
      <c r="F291" s="210"/>
      <c r="G291" s="210"/>
    </row>
    <row r="292" ht="15.75" customHeight="1">
      <c r="A292" s="210"/>
      <c r="B292" s="210"/>
      <c r="C292" s="210"/>
      <c r="D292" s="210"/>
      <c r="E292" s="210"/>
      <c r="F292" s="210"/>
      <c r="G292" s="210"/>
    </row>
    <row r="293" ht="15.75" customHeight="1">
      <c r="A293" s="210"/>
      <c r="B293" s="210"/>
      <c r="C293" s="210"/>
      <c r="D293" s="210"/>
      <c r="E293" s="210"/>
      <c r="F293" s="210"/>
      <c r="G293" s="210"/>
    </row>
    <row r="294" ht="15.75" customHeight="1">
      <c r="A294" s="210"/>
      <c r="B294" s="210"/>
      <c r="C294" s="210"/>
      <c r="D294" s="210"/>
      <c r="E294" s="210"/>
      <c r="F294" s="210"/>
      <c r="G294" s="210"/>
    </row>
    <row r="295" ht="15.75" customHeight="1">
      <c r="A295" s="210"/>
      <c r="B295" s="210"/>
      <c r="C295" s="210"/>
      <c r="D295" s="210"/>
      <c r="E295" s="210"/>
      <c r="F295" s="210"/>
      <c r="G295" s="210"/>
    </row>
    <row r="296" ht="15.75" customHeight="1">
      <c r="A296" s="210"/>
      <c r="B296" s="210"/>
      <c r="C296" s="210"/>
      <c r="D296" s="210"/>
      <c r="E296" s="210"/>
      <c r="F296" s="210"/>
      <c r="G296" s="210"/>
    </row>
    <row r="297" ht="15.75" customHeight="1">
      <c r="A297" s="210"/>
      <c r="B297" s="210"/>
      <c r="C297" s="210"/>
      <c r="D297" s="210"/>
      <c r="E297" s="210"/>
      <c r="F297" s="210"/>
      <c r="G297" s="210"/>
    </row>
    <row r="298" ht="15.75" customHeight="1">
      <c r="A298" s="210"/>
      <c r="B298" s="210"/>
      <c r="C298" s="210"/>
      <c r="D298" s="210"/>
      <c r="E298" s="210"/>
      <c r="F298" s="210"/>
      <c r="G298" s="210"/>
    </row>
    <row r="299" ht="15.75" customHeight="1">
      <c r="A299" s="210"/>
      <c r="B299" s="210"/>
      <c r="C299" s="210"/>
      <c r="D299" s="210"/>
      <c r="E299" s="210"/>
      <c r="F299" s="210"/>
      <c r="G299" s="210"/>
    </row>
    <row r="300" ht="15.75" customHeight="1">
      <c r="A300" s="210"/>
      <c r="B300" s="210"/>
      <c r="C300" s="210"/>
      <c r="D300" s="210"/>
      <c r="E300" s="210"/>
      <c r="F300" s="210"/>
      <c r="G300" s="210"/>
    </row>
    <row r="301" ht="15.75" customHeight="1">
      <c r="A301" s="210"/>
      <c r="B301" s="210"/>
      <c r="C301" s="210"/>
      <c r="D301" s="210"/>
      <c r="E301" s="210"/>
      <c r="F301" s="210"/>
      <c r="G301" s="210"/>
    </row>
    <row r="302" ht="15.75" customHeight="1">
      <c r="A302" s="210"/>
      <c r="B302" s="210"/>
      <c r="C302" s="210"/>
      <c r="D302" s="210"/>
      <c r="E302" s="210"/>
      <c r="F302" s="210"/>
      <c r="G302" s="210"/>
    </row>
    <row r="303" ht="15.75" customHeight="1">
      <c r="A303" s="210"/>
      <c r="B303" s="210"/>
      <c r="C303" s="210"/>
      <c r="D303" s="210"/>
      <c r="E303" s="210"/>
      <c r="F303" s="210"/>
      <c r="G303" s="210"/>
    </row>
    <row r="304" ht="15.75" customHeight="1">
      <c r="A304" s="210"/>
      <c r="B304" s="210"/>
      <c r="C304" s="210"/>
      <c r="D304" s="210"/>
      <c r="E304" s="210"/>
      <c r="F304" s="210"/>
      <c r="G304" s="210"/>
    </row>
    <row r="305" ht="15.75" customHeight="1">
      <c r="A305" s="210"/>
      <c r="B305" s="210"/>
      <c r="C305" s="210"/>
      <c r="D305" s="210"/>
      <c r="E305" s="210"/>
      <c r="F305" s="210"/>
      <c r="G305" s="210"/>
    </row>
    <row r="306" ht="15.75" customHeight="1">
      <c r="A306" s="210"/>
      <c r="B306" s="210"/>
      <c r="C306" s="210"/>
      <c r="D306" s="210"/>
      <c r="E306" s="210"/>
      <c r="F306" s="210"/>
      <c r="G306" s="210"/>
    </row>
    <row r="307" ht="15.75" customHeight="1">
      <c r="A307" s="210"/>
      <c r="B307" s="210"/>
      <c r="C307" s="210"/>
      <c r="D307" s="210"/>
      <c r="E307" s="210"/>
      <c r="F307" s="210"/>
      <c r="G307" s="210"/>
    </row>
    <row r="308" ht="15.75" customHeight="1">
      <c r="A308" s="210"/>
      <c r="B308" s="210"/>
      <c r="C308" s="210"/>
      <c r="D308" s="210"/>
      <c r="E308" s="210"/>
      <c r="F308" s="210"/>
      <c r="G308" s="210"/>
    </row>
    <row r="309" ht="15.75" customHeight="1">
      <c r="A309" s="210"/>
      <c r="B309" s="210"/>
      <c r="C309" s="210"/>
      <c r="D309" s="210"/>
      <c r="E309" s="210"/>
      <c r="F309" s="210"/>
      <c r="G309" s="210"/>
    </row>
    <row r="310" ht="15.75" customHeight="1">
      <c r="A310" s="210"/>
      <c r="B310" s="210"/>
      <c r="C310" s="210"/>
      <c r="D310" s="210"/>
      <c r="E310" s="210"/>
      <c r="F310" s="210"/>
      <c r="G310" s="210"/>
    </row>
    <row r="311" ht="15.75" customHeight="1">
      <c r="A311" s="210"/>
      <c r="B311" s="210"/>
      <c r="C311" s="210"/>
      <c r="D311" s="210"/>
      <c r="E311" s="210"/>
      <c r="F311" s="210"/>
      <c r="G311" s="210"/>
    </row>
    <row r="312" ht="15.75" customHeight="1">
      <c r="A312" s="210"/>
      <c r="B312" s="210"/>
      <c r="C312" s="210"/>
      <c r="D312" s="210"/>
      <c r="E312" s="210"/>
      <c r="F312" s="210"/>
      <c r="G312" s="210"/>
    </row>
    <row r="313" ht="15.75" customHeight="1">
      <c r="A313" s="210"/>
      <c r="B313" s="210"/>
      <c r="C313" s="210"/>
      <c r="D313" s="210"/>
      <c r="E313" s="210"/>
      <c r="F313" s="210"/>
      <c r="G313" s="210"/>
    </row>
    <row r="314" ht="15.75" customHeight="1">
      <c r="A314" s="210"/>
      <c r="B314" s="210"/>
      <c r="C314" s="210"/>
      <c r="D314" s="210"/>
      <c r="E314" s="210"/>
      <c r="F314" s="210"/>
      <c r="G314" s="210"/>
    </row>
    <row r="315" ht="15.75" customHeight="1">
      <c r="A315" s="210"/>
      <c r="B315" s="210"/>
      <c r="C315" s="210"/>
      <c r="D315" s="210"/>
      <c r="E315" s="210"/>
      <c r="F315" s="210"/>
      <c r="G315" s="210"/>
    </row>
    <row r="316" ht="15.75" customHeight="1">
      <c r="A316" s="210"/>
      <c r="B316" s="210"/>
      <c r="C316" s="210"/>
      <c r="D316" s="210"/>
      <c r="E316" s="210"/>
      <c r="F316" s="210"/>
      <c r="G316" s="210"/>
    </row>
    <row r="317" ht="15.75" customHeight="1">
      <c r="A317" s="210"/>
      <c r="B317" s="210"/>
      <c r="C317" s="210"/>
      <c r="D317" s="210"/>
      <c r="E317" s="210"/>
      <c r="F317" s="210"/>
      <c r="G317" s="210"/>
    </row>
    <row r="318" ht="15.75" customHeight="1">
      <c r="A318" s="210"/>
      <c r="B318" s="210"/>
      <c r="C318" s="210"/>
      <c r="D318" s="210"/>
      <c r="E318" s="210"/>
      <c r="F318" s="210"/>
      <c r="G318" s="210"/>
    </row>
    <row r="319" ht="15.75" customHeight="1">
      <c r="A319" s="210"/>
      <c r="B319" s="210"/>
      <c r="C319" s="210"/>
      <c r="D319" s="210"/>
      <c r="E319" s="210"/>
      <c r="F319" s="210"/>
      <c r="G319" s="210"/>
    </row>
    <row r="320" ht="15.75" customHeight="1">
      <c r="A320" s="210"/>
      <c r="B320" s="210"/>
      <c r="C320" s="210"/>
      <c r="D320" s="210"/>
      <c r="E320" s="210"/>
      <c r="F320" s="210"/>
      <c r="G320" s="210"/>
    </row>
    <row r="321" ht="15.75" customHeight="1">
      <c r="A321" s="210"/>
      <c r="B321" s="210"/>
      <c r="C321" s="210"/>
      <c r="D321" s="210"/>
      <c r="E321" s="210"/>
      <c r="F321" s="210"/>
      <c r="G321" s="210"/>
    </row>
    <row r="322" ht="15.75" customHeight="1">
      <c r="A322" s="210"/>
      <c r="B322" s="210"/>
      <c r="C322" s="210"/>
      <c r="D322" s="210"/>
      <c r="E322" s="210"/>
      <c r="F322" s="210"/>
      <c r="G322" s="210"/>
    </row>
    <row r="323" ht="15.75" customHeight="1">
      <c r="A323" s="210"/>
      <c r="B323" s="210"/>
      <c r="C323" s="210"/>
      <c r="D323" s="210"/>
      <c r="E323" s="210"/>
      <c r="F323" s="210"/>
      <c r="G323" s="210"/>
    </row>
    <row r="324" ht="15.75" customHeight="1">
      <c r="A324" s="210"/>
      <c r="B324" s="210"/>
      <c r="C324" s="210"/>
      <c r="D324" s="210"/>
      <c r="E324" s="210"/>
      <c r="F324" s="210"/>
      <c r="G324" s="210"/>
    </row>
    <row r="325" ht="15.75" customHeight="1">
      <c r="A325" s="210"/>
      <c r="B325" s="210"/>
      <c r="C325" s="210"/>
      <c r="D325" s="210"/>
      <c r="E325" s="210"/>
      <c r="F325" s="210"/>
      <c r="G325" s="210"/>
    </row>
    <row r="326" ht="15.75" customHeight="1">
      <c r="A326" s="210"/>
      <c r="B326" s="210"/>
      <c r="C326" s="210"/>
      <c r="D326" s="210"/>
      <c r="E326" s="210"/>
      <c r="F326" s="210"/>
      <c r="G326" s="210"/>
    </row>
    <row r="327" ht="15.75" customHeight="1">
      <c r="A327" s="210"/>
      <c r="B327" s="210"/>
      <c r="C327" s="210"/>
      <c r="D327" s="210"/>
      <c r="E327" s="210"/>
      <c r="F327" s="210"/>
      <c r="G327" s="210"/>
    </row>
    <row r="328" ht="15.75" customHeight="1">
      <c r="A328" s="210"/>
      <c r="B328" s="210"/>
      <c r="C328" s="210"/>
      <c r="D328" s="210"/>
      <c r="E328" s="210"/>
      <c r="F328" s="210"/>
      <c r="G328" s="210"/>
    </row>
    <row r="329" ht="15.75" customHeight="1">
      <c r="A329" s="210"/>
      <c r="B329" s="210"/>
      <c r="C329" s="210"/>
      <c r="D329" s="210"/>
      <c r="E329" s="210"/>
      <c r="F329" s="210"/>
      <c r="G329" s="210"/>
    </row>
    <row r="330" ht="15.75" customHeight="1">
      <c r="A330" s="210"/>
      <c r="B330" s="210"/>
      <c r="C330" s="210"/>
      <c r="D330" s="210"/>
      <c r="E330" s="210"/>
      <c r="F330" s="210"/>
      <c r="G330" s="210"/>
    </row>
    <row r="331" ht="15.75" customHeight="1">
      <c r="A331" s="210"/>
      <c r="B331" s="210"/>
      <c r="C331" s="210"/>
      <c r="D331" s="210"/>
      <c r="E331" s="210"/>
      <c r="F331" s="210"/>
      <c r="G331" s="210"/>
    </row>
    <row r="332" ht="15.75" customHeight="1">
      <c r="A332" s="210"/>
      <c r="B332" s="210"/>
      <c r="C332" s="210"/>
      <c r="D332" s="210"/>
      <c r="E332" s="210"/>
      <c r="F332" s="210"/>
      <c r="G332" s="210"/>
    </row>
    <row r="333" ht="15.75" customHeight="1">
      <c r="A333" s="210"/>
      <c r="B333" s="210"/>
      <c r="C333" s="210"/>
      <c r="D333" s="210"/>
      <c r="E333" s="210"/>
      <c r="F333" s="210"/>
      <c r="G333" s="210"/>
    </row>
    <row r="334" ht="15.75" customHeight="1">
      <c r="A334" s="210"/>
      <c r="B334" s="210"/>
      <c r="C334" s="210"/>
      <c r="D334" s="210"/>
      <c r="E334" s="210"/>
      <c r="F334" s="210"/>
      <c r="G334" s="210"/>
    </row>
    <row r="335" ht="15.75" customHeight="1">
      <c r="A335" s="210"/>
      <c r="B335" s="210"/>
      <c r="C335" s="210"/>
      <c r="D335" s="210"/>
      <c r="E335" s="210"/>
      <c r="F335" s="210"/>
      <c r="G335" s="210"/>
    </row>
    <row r="336" ht="15.75" customHeight="1">
      <c r="A336" s="210"/>
      <c r="B336" s="210"/>
      <c r="C336" s="210"/>
      <c r="D336" s="210"/>
      <c r="E336" s="210"/>
      <c r="F336" s="210"/>
      <c r="G336" s="210"/>
    </row>
    <row r="337" ht="15.75" customHeight="1">
      <c r="A337" s="210"/>
      <c r="B337" s="210"/>
      <c r="C337" s="210"/>
      <c r="D337" s="210"/>
      <c r="E337" s="210"/>
      <c r="F337" s="210"/>
      <c r="G337" s="210"/>
    </row>
    <row r="338" ht="15.75" customHeight="1">
      <c r="A338" s="210"/>
      <c r="B338" s="210"/>
      <c r="C338" s="210"/>
      <c r="D338" s="210"/>
      <c r="E338" s="210"/>
      <c r="F338" s="210"/>
      <c r="G338" s="210"/>
    </row>
    <row r="339" ht="15.75" customHeight="1">
      <c r="A339" s="210"/>
      <c r="B339" s="210"/>
      <c r="C339" s="210"/>
      <c r="D339" s="210"/>
      <c r="E339" s="210"/>
      <c r="F339" s="210"/>
      <c r="G339" s="210"/>
    </row>
    <row r="340" ht="15.75" customHeight="1">
      <c r="A340" s="210"/>
      <c r="B340" s="210"/>
      <c r="C340" s="210"/>
      <c r="D340" s="210"/>
      <c r="E340" s="210"/>
      <c r="F340" s="210"/>
      <c r="G340" s="210"/>
    </row>
    <row r="341" ht="15.75" customHeight="1">
      <c r="A341" s="210"/>
      <c r="B341" s="210"/>
      <c r="C341" s="210"/>
      <c r="D341" s="210"/>
      <c r="E341" s="210"/>
      <c r="F341" s="210"/>
      <c r="G341" s="210"/>
    </row>
    <row r="342" ht="15.75" customHeight="1">
      <c r="A342" s="210"/>
      <c r="B342" s="210"/>
      <c r="C342" s="210"/>
      <c r="D342" s="210"/>
      <c r="E342" s="210"/>
      <c r="F342" s="210"/>
      <c r="G342" s="210"/>
    </row>
    <row r="343" ht="15.75" customHeight="1">
      <c r="A343" s="210"/>
      <c r="B343" s="210"/>
      <c r="C343" s="210"/>
      <c r="D343" s="210"/>
      <c r="E343" s="210"/>
      <c r="F343" s="210"/>
      <c r="G343" s="210"/>
    </row>
    <row r="344" ht="15.75" customHeight="1">
      <c r="A344" s="210"/>
      <c r="B344" s="210"/>
      <c r="C344" s="210"/>
      <c r="D344" s="210"/>
      <c r="E344" s="210"/>
      <c r="F344" s="210"/>
      <c r="G344" s="210"/>
    </row>
    <row r="345" ht="15.75" customHeight="1">
      <c r="A345" s="210"/>
      <c r="B345" s="210"/>
      <c r="C345" s="210"/>
      <c r="D345" s="210"/>
      <c r="E345" s="210"/>
      <c r="F345" s="210"/>
      <c r="G345" s="210"/>
    </row>
    <row r="346" ht="15.75" customHeight="1">
      <c r="A346" s="210"/>
      <c r="B346" s="210"/>
      <c r="C346" s="210"/>
      <c r="D346" s="210"/>
      <c r="E346" s="210"/>
      <c r="F346" s="210"/>
      <c r="G346" s="210"/>
    </row>
    <row r="347" ht="15.75" customHeight="1">
      <c r="A347" s="210"/>
      <c r="B347" s="210"/>
      <c r="C347" s="210"/>
      <c r="D347" s="210"/>
      <c r="E347" s="210"/>
      <c r="F347" s="210"/>
      <c r="G347" s="210"/>
    </row>
    <row r="348" ht="15.75" customHeight="1">
      <c r="A348" s="210"/>
      <c r="B348" s="210"/>
      <c r="C348" s="210"/>
      <c r="D348" s="210"/>
      <c r="E348" s="210"/>
      <c r="F348" s="210"/>
      <c r="G348" s="210"/>
    </row>
    <row r="349" ht="15.75" customHeight="1">
      <c r="A349" s="210"/>
      <c r="B349" s="210"/>
      <c r="C349" s="210"/>
      <c r="D349" s="210"/>
      <c r="E349" s="210"/>
      <c r="F349" s="210"/>
      <c r="G349" s="210"/>
    </row>
    <row r="350" ht="15.75" customHeight="1">
      <c r="A350" s="210"/>
      <c r="B350" s="210"/>
      <c r="C350" s="210"/>
      <c r="D350" s="210"/>
      <c r="E350" s="210"/>
      <c r="F350" s="210"/>
      <c r="G350" s="210"/>
    </row>
    <row r="351" ht="15.75" customHeight="1">
      <c r="A351" s="210"/>
      <c r="B351" s="210"/>
      <c r="C351" s="210"/>
      <c r="D351" s="210"/>
      <c r="E351" s="210"/>
      <c r="F351" s="210"/>
      <c r="G351" s="210"/>
    </row>
    <row r="352" ht="15.75" customHeight="1">
      <c r="A352" s="210"/>
      <c r="B352" s="210"/>
      <c r="C352" s="210"/>
      <c r="D352" s="210"/>
      <c r="E352" s="210"/>
      <c r="F352" s="210"/>
      <c r="G352" s="210"/>
    </row>
    <row r="353" ht="15.75" customHeight="1">
      <c r="A353" s="210"/>
      <c r="B353" s="210"/>
      <c r="C353" s="210"/>
      <c r="D353" s="210"/>
      <c r="E353" s="210"/>
      <c r="F353" s="210"/>
      <c r="G353" s="210"/>
    </row>
    <row r="354" ht="15.75" customHeight="1">
      <c r="A354" s="210"/>
      <c r="B354" s="210"/>
      <c r="C354" s="210"/>
      <c r="D354" s="210"/>
      <c r="E354" s="210"/>
      <c r="F354" s="210"/>
      <c r="G354" s="210"/>
    </row>
    <row r="355" ht="15.75" customHeight="1">
      <c r="A355" s="210"/>
      <c r="B355" s="210"/>
      <c r="C355" s="210"/>
      <c r="D355" s="210"/>
      <c r="E355" s="210"/>
      <c r="F355" s="210"/>
      <c r="G355" s="210"/>
    </row>
    <row r="356" ht="15.75" customHeight="1">
      <c r="A356" s="210"/>
      <c r="B356" s="210"/>
      <c r="C356" s="210"/>
      <c r="D356" s="210"/>
      <c r="E356" s="210"/>
      <c r="F356" s="210"/>
      <c r="G356" s="210"/>
    </row>
    <row r="357" ht="15.75" customHeight="1">
      <c r="A357" s="210"/>
      <c r="B357" s="210"/>
      <c r="C357" s="210"/>
      <c r="D357" s="210"/>
      <c r="E357" s="210"/>
      <c r="F357" s="210"/>
      <c r="G357" s="210"/>
    </row>
    <row r="358" ht="15.75" customHeight="1">
      <c r="A358" s="210"/>
      <c r="B358" s="210"/>
      <c r="C358" s="210"/>
      <c r="D358" s="210"/>
      <c r="E358" s="210"/>
      <c r="F358" s="210"/>
      <c r="G358" s="210"/>
    </row>
    <row r="359" ht="15.75" customHeight="1">
      <c r="A359" s="210"/>
      <c r="B359" s="210"/>
      <c r="C359" s="210"/>
      <c r="D359" s="210"/>
      <c r="E359" s="210"/>
      <c r="F359" s="210"/>
      <c r="G359" s="210"/>
    </row>
    <row r="360" ht="15.75" customHeight="1">
      <c r="A360" s="210"/>
      <c r="B360" s="210"/>
      <c r="C360" s="210"/>
      <c r="D360" s="210"/>
      <c r="E360" s="210"/>
      <c r="F360" s="210"/>
      <c r="G360" s="210"/>
    </row>
    <row r="361" ht="15.75" customHeight="1">
      <c r="A361" s="210"/>
      <c r="B361" s="210"/>
      <c r="C361" s="210"/>
      <c r="D361" s="210"/>
      <c r="E361" s="210"/>
      <c r="F361" s="210"/>
      <c r="G361" s="210"/>
    </row>
    <row r="362" ht="15.75" customHeight="1">
      <c r="A362" s="210"/>
      <c r="B362" s="210"/>
      <c r="C362" s="210"/>
      <c r="D362" s="210"/>
      <c r="E362" s="210"/>
      <c r="F362" s="210"/>
      <c r="G362" s="210"/>
    </row>
    <row r="363" ht="15.75" customHeight="1">
      <c r="A363" s="210"/>
      <c r="B363" s="210"/>
      <c r="C363" s="210"/>
      <c r="D363" s="210"/>
      <c r="E363" s="210"/>
      <c r="F363" s="210"/>
      <c r="G363" s="210"/>
    </row>
    <row r="364" ht="15.75" customHeight="1">
      <c r="A364" s="210"/>
      <c r="B364" s="210"/>
      <c r="C364" s="210"/>
      <c r="D364" s="210"/>
      <c r="E364" s="210"/>
      <c r="F364" s="210"/>
      <c r="G364" s="210"/>
    </row>
    <row r="365" ht="15.75" customHeight="1">
      <c r="A365" s="210"/>
      <c r="B365" s="210"/>
      <c r="C365" s="210"/>
      <c r="D365" s="210"/>
      <c r="E365" s="210"/>
      <c r="F365" s="210"/>
      <c r="G365" s="210"/>
    </row>
    <row r="366" ht="15.75" customHeight="1">
      <c r="A366" s="210"/>
      <c r="B366" s="210"/>
      <c r="C366" s="210"/>
      <c r="D366" s="210"/>
      <c r="E366" s="210"/>
      <c r="F366" s="210"/>
      <c r="G366" s="210"/>
    </row>
    <row r="367" ht="15.75" customHeight="1">
      <c r="A367" s="210"/>
      <c r="B367" s="210"/>
      <c r="C367" s="210"/>
      <c r="D367" s="210"/>
      <c r="E367" s="210"/>
      <c r="F367" s="210"/>
      <c r="G367" s="210"/>
    </row>
    <row r="368" ht="15.75" customHeight="1">
      <c r="A368" s="210"/>
      <c r="B368" s="210"/>
      <c r="C368" s="210"/>
      <c r="D368" s="210"/>
      <c r="E368" s="210"/>
      <c r="F368" s="210"/>
      <c r="G368" s="210"/>
    </row>
    <row r="369" ht="15.75" customHeight="1">
      <c r="A369" s="210"/>
      <c r="B369" s="210"/>
      <c r="C369" s="210"/>
      <c r="D369" s="210"/>
      <c r="E369" s="210"/>
      <c r="F369" s="210"/>
      <c r="G369" s="210"/>
    </row>
    <row r="370" ht="15.75" customHeight="1">
      <c r="A370" s="210"/>
      <c r="B370" s="210"/>
      <c r="C370" s="210"/>
      <c r="D370" s="210"/>
      <c r="E370" s="210"/>
      <c r="F370" s="210"/>
      <c r="G370" s="210"/>
    </row>
    <row r="371" ht="15.75" customHeight="1">
      <c r="A371" s="210"/>
      <c r="B371" s="210"/>
      <c r="C371" s="210"/>
      <c r="D371" s="210"/>
      <c r="E371" s="210"/>
      <c r="F371" s="210"/>
      <c r="G371" s="210"/>
    </row>
    <row r="372" ht="15.75" customHeight="1">
      <c r="A372" s="210"/>
      <c r="B372" s="210"/>
      <c r="C372" s="210"/>
      <c r="D372" s="210"/>
      <c r="E372" s="210"/>
      <c r="F372" s="210"/>
      <c r="G372" s="210"/>
    </row>
    <row r="373" ht="15.75" customHeight="1">
      <c r="A373" s="210"/>
      <c r="B373" s="210"/>
      <c r="C373" s="210"/>
      <c r="D373" s="210"/>
      <c r="E373" s="210"/>
      <c r="F373" s="210"/>
      <c r="G373" s="210"/>
    </row>
    <row r="374" ht="15.75" customHeight="1">
      <c r="A374" s="210"/>
      <c r="B374" s="210"/>
      <c r="C374" s="210"/>
      <c r="D374" s="210"/>
      <c r="E374" s="210"/>
      <c r="F374" s="210"/>
      <c r="G374" s="210"/>
    </row>
    <row r="375" ht="15.75" customHeight="1">
      <c r="A375" s="210"/>
      <c r="B375" s="210"/>
      <c r="C375" s="210"/>
      <c r="D375" s="210"/>
      <c r="E375" s="210"/>
      <c r="F375" s="210"/>
      <c r="G375" s="210"/>
    </row>
    <row r="376" ht="15.75" customHeight="1">
      <c r="A376" s="210"/>
      <c r="B376" s="210"/>
      <c r="C376" s="210"/>
      <c r="D376" s="210"/>
      <c r="E376" s="210"/>
      <c r="F376" s="210"/>
      <c r="G376" s="210"/>
    </row>
    <row r="377" ht="15.75" customHeight="1">
      <c r="A377" s="210"/>
      <c r="B377" s="210"/>
      <c r="C377" s="210"/>
      <c r="D377" s="210"/>
      <c r="E377" s="210"/>
      <c r="F377" s="210"/>
      <c r="G377" s="210"/>
    </row>
    <row r="378" ht="15.75" customHeight="1">
      <c r="A378" s="210"/>
      <c r="B378" s="210"/>
      <c r="C378" s="210"/>
      <c r="D378" s="210"/>
      <c r="E378" s="210"/>
      <c r="F378" s="210"/>
      <c r="G378" s="210"/>
    </row>
    <row r="379" ht="15.75" customHeight="1">
      <c r="A379" s="210"/>
      <c r="B379" s="210"/>
      <c r="C379" s="210"/>
      <c r="D379" s="210"/>
      <c r="E379" s="210"/>
      <c r="F379" s="210"/>
      <c r="G379" s="210"/>
    </row>
    <row r="380" ht="15.75" customHeight="1">
      <c r="A380" s="210"/>
      <c r="B380" s="210"/>
      <c r="C380" s="210"/>
      <c r="D380" s="210"/>
      <c r="E380" s="210"/>
      <c r="F380" s="210"/>
      <c r="G380" s="210"/>
    </row>
    <row r="381" ht="15.75" customHeight="1">
      <c r="A381" s="210"/>
      <c r="B381" s="210"/>
      <c r="C381" s="210"/>
      <c r="D381" s="210"/>
      <c r="E381" s="210"/>
      <c r="F381" s="210"/>
      <c r="G381" s="210"/>
    </row>
    <row r="382" ht="15.75" customHeight="1">
      <c r="A382" s="210"/>
      <c r="B382" s="210"/>
      <c r="C382" s="210"/>
      <c r="D382" s="210"/>
      <c r="E382" s="210"/>
      <c r="F382" s="210"/>
      <c r="G382" s="210"/>
    </row>
    <row r="383" ht="15.75" customHeight="1">
      <c r="A383" s="210"/>
      <c r="B383" s="210"/>
      <c r="C383" s="210"/>
      <c r="D383" s="210"/>
      <c r="E383" s="210"/>
      <c r="F383" s="210"/>
      <c r="G383" s="210"/>
    </row>
    <row r="384" ht="15.75" customHeight="1">
      <c r="A384" s="210"/>
      <c r="B384" s="210"/>
      <c r="C384" s="210"/>
      <c r="D384" s="210"/>
      <c r="E384" s="210"/>
      <c r="F384" s="210"/>
      <c r="G384" s="210"/>
    </row>
    <row r="385" ht="15.75" customHeight="1">
      <c r="A385" s="210"/>
      <c r="B385" s="210"/>
      <c r="C385" s="210"/>
      <c r="D385" s="210"/>
      <c r="E385" s="210"/>
      <c r="F385" s="210"/>
      <c r="G385" s="210"/>
    </row>
    <row r="386" ht="15.75" customHeight="1">
      <c r="A386" s="210"/>
      <c r="B386" s="210"/>
      <c r="C386" s="210"/>
      <c r="D386" s="210"/>
      <c r="E386" s="210"/>
      <c r="F386" s="210"/>
      <c r="G386" s="210"/>
    </row>
    <row r="387" ht="15.75" customHeight="1">
      <c r="A387" s="210"/>
      <c r="B387" s="210"/>
      <c r="C387" s="210"/>
      <c r="D387" s="210"/>
      <c r="E387" s="210"/>
      <c r="F387" s="210"/>
      <c r="G387" s="210"/>
    </row>
    <row r="388" ht="15.75" customHeight="1">
      <c r="A388" s="210"/>
      <c r="B388" s="210"/>
      <c r="C388" s="210"/>
      <c r="D388" s="210"/>
      <c r="E388" s="210"/>
      <c r="F388" s="210"/>
      <c r="G388" s="210"/>
    </row>
    <row r="389" ht="15.75" customHeight="1">
      <c r="A389" s="210"/>
      <c r="B389" s="210"/>
      <c r="C389" s="210"/>
      <c r="D389" s="210"/>
      <c r="E389" s="210"/>
      <c r="F389" s="210"/>
      <c r="G389" s="210"/>
    </row>
    <row r="390" ht="15.75" customHeight="1">
      <c r="A390" s="210"/>
      <c r="B390" s="210"/>
      <c r="C390" s="210"/>
      <c r="D390" s="210"/>
      <c r="E390" s="210"/>
      <c r="F390" s="210"/>
      <c r="G390" s="210"/>
    </row>
    <row r="391" ht="15.75" customHeight="1">
      <c r="A391" s="210"/>
      <c r="B391" s="210"/>
      <c r="C391" s="210"/>
      <c r="D391" s="210"/>
      <c r="E391" s="210"/>
      <c r="F391" s="210"/>
      <c r="G391" s="210"/>
    </row>
    <row r="392" ht="15.75" customHeight="1">
      <c r="A392" s="210"/>
      <c r="B392" s="210"/>
      <c r="C392" s="210"/>
      <c r="D392" s="210"/>
      <c r="E392" s="210"/>
      <c r="F392" s="210"/>
      <c r="G392" s="210"/>
    </row>
    <row r="393" ht="15.75" customHeight="1">
      <c r="A393" s="210"/>
      <c r="B393" s="210"/>
      <c r="C393" s="210"/>
      <c r="D393" s="210"/>
      <c r="E393" s="210"/>
      <c r="F393" s="210"/>
      <c r="G393" s="210"/>
    </row>
    <row r="394" ht="15.75" customHeight="1">
      <c r="A394" s="210"/>
      <c r="B394" s="210"/>
      <c r="C394" s="210"/>
      <c r="D394" s="210"/>
      <c r="E394" s="210"/>
      <c r="F394" s="210"/>
      <c r="G394" s="210"/>
    </row>
    <row r="395" ht="15.75" customHeight="1">
      <c r="A395" s="210"/>
      <c r="B395" s="210"/>
      <c r="C395" s="210"/>
      <c r="D395" s="210"/>
      <c r="E395" s="210"/>
      <c r="F395" s="210"/>
      <c r="G395" s="210"/>
    </row>
    <row r="396" ht="15.75" customHeight="1">
      <c r="A396" s="210"/>
      <c r="B396" s="210"/>
      <c r="C396" s="210"/>
      <c r="D396" s="210"/>
      <c r="E396" s="210"/>
      <c r="F396" s="210"/>
      <c r="G396" s="210"/>
    </row>
    <row r="397" ht="15.75" customHeight="1">
      <c r="A397" s="210"/>
      <c r="B397" s="210"/>
      <c r="C397" s="210"/>
      <c r="D397" s="210"/>
      <c r="E397" s="210"/>
      <c r="F397" s="210"/>
      <c r="G397" s="210"/>
    </row>
    <row r="398" ht="15.75" customHeight="1">
      <c r="A398" s="210"/>
      <c r="B398" s="210"/>
      <c r="C398" s="210"/>
      <c r="D398" s="210"/>
      <c r="E398" s="210"/>
      <c r="F398" s="210"/>
      <c r="G398" s="210"/>
    </row>
    <row r="399" ht="15.75" customHeight="1">
      <c r="A399" s="210"/>
      <c r="B399" s="210"/>
      <c r="C399" s="210"/>
      <c r="D399" s="210"/>
      <c r="E399" s="210"/>
      <c r="F399" s="210"/>
      <c r="G399" s="210"/>
    </row>
    <row r="400" ht="15.75" customHeight="1">
      <c r="A400" s="210"/>
      <c r="B400" s="210"/>
      <c r="C400" s="210"/>
      <c r="D400" s="210"/>
      <c r="E400" s="210"/>
      <c r="F400" s="210"/>
      <c r="G400" s="210"/>
    </row>
    <row r="401" ht="15.75" customHeight="1">
      <c r="A401" s="210"/>
      <c r="B401" s="210"/>
      <c r="C401" s="210"/>
      <c r="D401" s="210"/>
      <c r="E401" s="210"/>
      <c r="F401" s="210"/>
      <c r="G401" s="210"/>
    </row>
    <row r="402" ht="15.75" customHeight="1">
      <c r="A402" s="210"/>
      <c r="B402" s="210"/>
      <c r="C402" s="210"/>
      <c r="D402" s="210"/>
      <c r="E402" s="210"/>
      <c r="F402" s="210"/>
      <c r="G402" s="210"/>
    </row>
    <row r="403" ht="15.75" customHeight="1">
      <c r="A403" s="210"/>
      <c r="B403" s="210"/>
      <c r="C403" s="210"/>
      <c r="D403" s="210"/>
      <c r="E403" s="210"/>
      <c r="F403" s="210"/>
      <c r="G403" s="210"/>
    </row>
    <row r="404" ht="15.75" customHeight="1">
      <c r="A404" s="210"/>
      <c r="B404" s="210"/>
      <c r="C404" s="210"/>
      <c r="D404" s="210"/>
      <c r="E404" s="210"/>
      <c r="F404" s="210"/>
      <c r="G404" s="210"/>
    </row>
    <row r="405" ht="15.75" customHeight="1">
      <c r="A405" s="210"/>
      <c r="B405" s="210"/>
      <c r="C405" s="210"/>
      <c r="D405" s="210"/>
      <c r="E405" s="210"/>
      <c r="F405" s="210"/>
      <c r="G405" s="210"/>
    </row>
    <row r="406" ht="15.75" customHeight="1">
      <c r="A406" s="210"/>
      <c r="B406" s="210"/>
      <c r="C406" s="210"/>
      <c r="D406" s="210"/>
      <c r="E406" s="210"/>
      <c r="F406" s="210"/>
      <c r="G406" s="210"/>
    </row>
    <row r="407" ht="15.75" customHeight="1">
      <c r="A407" s="210"/>
      <c r="B407" s="210"/>
      <c r="C407" s="210"/>
      <c r="D407" s="210"/>
      <c r="E407" s="210"/>
      <c r="F407" s="210"/>
      <c r="G407" s="210"/>
    </row>
    <row r="408" ht="15.75" customHeight="1">
      <c r="A408" s="210"/>
      <c r="B408" s="210"/>
      <c r="C408" s="210"/>
      <c r="D408" s="210"/>
      <c r="E408" s="210"/>
      <c r="F408" s="210"/>
      <c r="G408" s="210"/>
    </row>
    <row r="409" ht="15.75" customHeight="1">
      <c r="A409" s="210"/>
      <c r="B409" s="210"/>
      <c r="C409" s="210"/>
      <c r="D409" s="210"/>
      <c r="E409" s="210"/>
      <c r="F409" s="210"/>
      <c r="G409" s="210"/>
    </row>
    <row r="410" ht="15.75" customHeight="1">
      <c r="A410" s="210"/>
      <c r="B410" s="210"/>
      <c r="C410" s="210"/>
      <c r="D410" s="210"/>
      <c r="E410" s="210"/>
      <c r="F410" s="210"/>
      <c r="G410" s="210"/>
    </row>
    <row r="411" ht="15.75" customHeight="1">
      <c r="A411" s="210"/>
      <c r="B411" s="210"/>
      <c r="C411" s="210"/>
      <c r="D411" s="210"/>
      <c r="E411" s="210"/>
      <c r="F411" s="210"/>
      <c r="G411" s="210"/>
    </row>
    <row r="412" ht="15.75" customHeight="1">
      <c r="A412" s="210"/>
      <c r="B412" s="210"/>
      <c r="C412" s="210"/>
      <c r="D412" s="210"/>
      <c r="E412" s="210"/>
      <c r="F412" s="210"/>
      <c r="G412" s="210"/>
    </row>
    <row r="413" ht="15.75" customHeight="1">
      <c r="A413" s="210"/>
      <c r="B413" s="210"/>
      <c r="C413" s="210"/>
      <c r="D413" s="210"/>
      <c r="E413" s="210"/>
      <c r="F413" s="210"/>
      <c r="G413" s="210"/>
    </row>
    <row r="414" ht="15.75" customHeight="1">
      <c r="A414" s="210"/>
      <c r="B414" s="210"/>
      <c r="C414" s="210"/>
      <c r="D414" s="210"/>
      <c r="E414" s="210"/>
      <c r="F414" s="210"/>
      <c r="G414" s="210"/>
    </row>
    <row r="415" ht="15.75" customHeight="1">
      <c r="A415" s="210"/>
      <c r="B415" s="210"/>
      <c r="C415" s="210"/>
      <c r="D415" s="210"/>
      <c r="E415" s="210"/>
      <c r="F415" s="210"/>
      <c r="G415" s="210"/>
    </row>
    <row r="416" ht="15.75" customHeight="1">
      <c r="A416" s="210"/>
      <c r="B416" s="210"/>
      <c r="C416" s="210"/>
      <c r="D416" s="210"/>
      <c r="E416" s="210"/>
      <c r="F416" s="210"/>
      <c r="G416" s="210"/>
    </row>
    <row r="417" ht="15.75" customHeight="1">
      <c r="A417" s="210"/>
      <c r="B417" s="210"/>
      <c r="C417" s="210"/>
      <c r="D417" s="210"/>
      <c r="E417" s="210"/>
      <c r="F417" s="210"/>
      <c r="G417" s="210"/>
    </row>
    <row r="418" ht="15.75" customHeight="1">
      <c r="A418" s="210"/>
      <c r="B418" s="210"/>
      <c r="C418" s="210"/>
      <c r="D418" s="210"/>
      <c r="E418" s="210"/>
      <c r="F418" s="210"/>
      <c r="G418" s="210"/>
    </row>
    <row r="419" ht="15.75" customHeight="1">
      <c r="A419" s="210"/>
      <c r="B419" s="210"/>
      <c r="C419" s="210"/>
      <c r="D419" s="210"/>
      <c r="E419" s="210"/>
      <c r="F419" s="210"/>
      <c r="G419" s="210"/>
    </row>
    <row r="420" ht="15.75" customHeight="1">
      <c r="A420" s="210"/>
      <c r="B420" s="210"/>
      <c r="C420" s="210"/>
      <c r="D420" s="210"/>
      <c r="E420" s="210"/>
      <c r="F420" s="210"/>
      <c r="G420" s="210"/>
    </row>
    <row r="421" ht="15.75" customHeight="1">
      <c r="A421" s="210"/>
      <c r="B421" s="210"/>
      <c r="C421" s="210"/>
      <c r="D421" s="210"/>
      <c r="E421" s="210"/>
      <c r="F421" s="210"/>
      <c r="G421" s="210"/>
    </row>
    <row r="422" ht="15.75" customHeight="1">
      <c r="A422" s="210"/>
      <c r="B422" s="210"/>
      <c r="C422" s="210"/>
      <c r="D422" s="210"/>
      <c r="E422" s="210"/>
      <c r="F422" s="210"/>
      <c r="G422" s="210"/>
    </row>
    <row r="423" ht="15.75" customHeight="1">
      <c r="A423" s="210"/>
      <c r="B423" s="210"/>
      <c r="C423" s="210"/>
      <c r="D423" s="210"/>
      <c r="E423" s="210"/>
      <c r="F423" s="210"/>
      <c r="G423" s="210"/>
    </row>
    <row r="424" ht="15.75" customHeight="1">
      <c r="A424" s="210"/>
      <c r="B424" s="210"/>
      <c r="C424" s="210"/>
      <c r="D424" s="210"/>
      <c r="E424" s="210"/>
      <c r="F424" s="210"/>
      <c r="G424" s="210"/>
    </row>
    <row r="425" ht="15.75" customHeight="1">
      <c r="A425" s="210"/>
      <c r="B425" s="210"/>
      <c r="C425" s="210"/>
      <c r="D425" s="210"/>
      <c r="E425" s="210"/>
      <c r="F425" s="210"/>
      <c r="G425" s="210"/>
    </row>
    <row r="426" ht="15.75" customHeight="1">
      <c r="A426" s="210"/>
      <c r="B426" s="210"/>
      <c r="C426" s="210"/>
      <c r="D426" s="210"/>
      <c r="E426" s="210"/>
      <c r="F426" s="210"/>
      <c r="G426" s="210"/>
    </row>
    <row r="427" ht="15.75" customHeight="1">
      <c r="A427" s="210"/>
      <c r="B427" s="210"/>
      <c r="C427" s="210"/>
      <c r="D427" s="210"/>
      <c r="E427" s="210"/>
      <c r="F427" s="210"/>
      <c r="G427" s="210"/>
    </row>
    <row r="428" ht="15.75" customHeight="1">
      <c r="A428" s="210"/>
      <c r="B428" s="210"/>
      <c r="C428" s="210"/>
      <c r="D428" s="210"/>
      <c r="E428" s="210"/>
      <c r="F428" s="210"/>
      <c r="G428" s="210"/>
    </row>
    <row r="429" ht="15.75" customHeight="1">
      <c r="A429" s="210"/>
      <c r="B429" s="210"/>
      <c r="C429" s="210"/>
      <c r="D429" s="210"/>
      <c r="E429" s="210"/>
      <c r="F429" s="210"/>
      <c r="G429" s="210"/>
    </row>
    <row r="430" ht="15.75" customHeight="1">
      <c r="A430" s="210"/>
      <c r="B430" s="210"/>
      <c r="C430" s="210"/>
      <c r="D430" s="210"/>
      <c r="E430" s="210"/>
      <c r="F430" s="210"/>
      <c r="G430" s="210"/>
    </row>
    <row r="431" ht="15.75" customHeight="1">
      <c r="A431" s="210"/>
      <c r="B431" s="210"/>
      <c r="C431" s="210"/>
      <c r="D431" s="210"/>
      <c r="E431" s="210"/>
      <c r="F431" s="210"/>
      <c r="G431" s="210"/>
    </row>
    <row r="432" ht="15.75" customHeight="1">
      <c r="A432" s="210"/>
      <c r="B432" s="210"/>
      <c r="C432" s="210"/>
      <c r="D432" s="210"/>
      <c r="E432" s="210"/>
      <c r="F432" s="210"/>
      <c r="G432" s="210"/>
    </row>
    <row r="433" ht="15.75" customHeight="1">
      <c r="A433" s="210"/>
      <c r="B433" s="210"/>
      <c r="C433" s="210"/>
      <c r="D433" s="210"/>
      <c r="E433" s="210"/>
      <c r="F433" s="210"/>
      <c r="G433" s="210"/>
    </row>
    <row r="434" ht="15.75" customHeight="1">
      <c r="A434" s="210"/>
      <c r="B434" s="210"/>
      <c r="C434" s="210"/>
      <c r="D434" s="210"/>
      <c r="E434" s="210"/>
      <c r="F434" s="210"/>
      <c r="G434" s="210"/>
    </row>
    <row r="435" ht="15.75" customHeight="1">
      <c r="A435" s="210"/>
      <c r="B435" s="210"/>
      <c r="C435" s="210"/>
      <c r="D435" s="210"/>
      <c r="E435" s="210"/>
      <c r="F435" s="210"/>
      <c r="G435" s="210"/>
    </row>
    <row r="436" ht="15.75" customHeight="1">
      <c r="A436" s="210"/>
      <c r="B436" s="210"/>
      <c r="C436" s="210"/>
      <c r="D436" s="210"/>
      <c r="E436" s="210"/>
      <c r="F436" s="210"/>
      <c r="G436" s="210"/>
    </row>
    <row r="437" ht="15.75" customHeight="1">
      <c r="A437" s="210"/>
      <c r="B437" s="210"/>
      <c r="C437" s="210"/>
      <c r="D437" s="210"/>
      <c r="E437" s="210"/>
      <c r="F437" s="210"/>
      <c r="G437" s="210"/>
    </row>
    <row r="438" ht="15.75" customHeight="1">
      <c r="A438" s="210"/>
      <c r="B438" s="210"/>
      <c r="C438" s="210"/>
      <c r="D438" s="210"/>
      <c r="E438" s="210"/>
      <c r="F438" s="210"/>
      <c r="G438" s="210"/>
    </row>
    <row r="439" ht="15.75" customHeight="1">
      <c r="A439" s="210"/>
      <c r="B439" s="210"/>
      <c r="C439" s="210"/>
      <c r="D439" s="210"/>
      <c r="E439" s="210"/>
      <c r="F439" s="210"/>
      <c r="G439" s="210"/>
    </row>
    <row r="440" ht="15.75" customHeight="1">
      <c r="A440" s="210"/>
      <c r="B440" s="210"/>
      <c r="C440" s="210"/>
      <c r="D440" s="210"/>
      <c r="E440" s="210"/>
      <c r="F440" s="210"/>
      <c r="G440" s="210"/>
    </row>
    <row r="441" ht="15.75" customHeight="1">
      <c r="A441" s="210"/>
      <c r="B441" s="210"/>
      <c r="C441" s="210"/>
      <c r="D441" s="210"/>
      <c r="E441" s="210"/>
      <c r="F441" s="210"/>
      <c r="G441" s="210"/>
    </row>
    <row r="442" ht="15.75" customHeight="1">
      <c r="A442" s="210"/>
      <c r="B442" s="210"/>
      <c r="C442" s="210"/>
      <c r="D442" s="210"/>
      <c r="E442" s="210"/>
      <c r="F442" s="210"/>
      <c r="G442" s="210"/>
    </row>
    <row r="443" ht="15.75" customHeight="1">
      <c r="A443" s="210"/>
      <c r="B443" s="210"/>
      <c r="C443" s="210"/>
      <c r="D443" s="210"/>
      <c r="E443" s="210"/>
      <c r="F443" s="210"/>
      <c r="G443" s="210"/>
    </row>
    <row r="444" ht="15.75" customHeight="1">
      <c r="A444" s="210"/>
      <c r="B444" s="210"/>
      <c r="C444" s="210"/>
      <c r="D444" s="210"/>
      <c r="E444" s="210"/>
      <c r="F444" s="210"/>
      <c r="G444" s="210"/>
    </row>
    <row r="445" ht="15.75" customHeight="1">
      <c r="A445" s="210"/>
      <c r="B445" s="210"/>
      <c r="C445" s="210"/>
      <c r="D445" s="210"/>
      <c r="E445" s="210"/>
      <c r="F445" s="210"/>
      <c r="G445" s="210"/>
    </row>
    <row r="446" ht="15.75" customHeight="1">
      <c r="A446" s="210"/>
      <c r="B446" s="210"/>
      <c r="C446" s="210"/>
      <c r="D446" s="210"/>
      <c r="E446" s="210"/>
      <c r="F446" s="210"/>
      <c r="G446" s="210"/>
    </row>
    <row r="447" ht="15.75" customHeight="1">
      <c r="A447" s="210"/>
      <c r="B447" s="210"/>
      <c r="C447" s="210"/>
      <c r="D447" s="210"/>
      <c r="E447" s="210"/>
      <c r="F447" s="210"/>
      <c r="G447" s="210"/>
    </row>
    <row r="448" ht="15.75" customHeight="1">
      <c r="A448" s="210"/>
      <c r="B448" s="210"/>
      <c r="C448" s="210"/>
      <c r="D448" s="210"/>
      <c r="E448" s="210"/>
      <c r="F448" s="210"/>
      <c r="G448" s="210"/>
    </row>
    <row r="449" ht="15.75" customHeight="1">
      <c r="A449" s="210"/>
      <c r="B449" s="210"/>
      <c r="C449" s="210"/>
      <c r="D449" s="210"/>
      <c r="E449" s="210"/>
      <c r="F449" s="210"/>
      <c r="G449" s="210"/>
    </row>
    <row r="450" ht="15.75" customHeight="1">
      <c r="A450" s="210"/>
      <c r="B450" s="210"/>
      <c r="C450" s="210"/>
      <c r="D450" s="210"/>
      <c r="E450" s="210"/>
      <c r="F450" s="210"/>
      <c r="G450" s="210"/>
    </row>
    <row r="451" ht="15.75" customHeight="1">
      <c r="A451" s="210"/>
      <c r="B451" s="210"/>
      <c r="C451" s="210"/>
      <c r="D451" s="210"/>
      <c r="E451" s="210"/>
      <c r="F451" s="210"/>
      <c r="G451" s="210"/>
    </row>
    <row r="452" ht="15.75" customHeight="1">
      <c r="A452" s="210"/>
      <c r="B452" s="210"/>
      <c r="C452" s="210"/>
      <c r="D452" s="210"/>
      <c r="E452" s="210"/>
      <c r="F452" s="210"/>
      <c r="G452" s="210"/>
    </row>
    <row r="453" ht="15.75" customHeight="1">
      <c r="A453" s="210"/>
      <c r="B453" s="210"/>
      <c r="C453" s="210"/>
      <c r="D453" s="210"/>
      <c r="E453" s="210"/>
      <c r="F453" s="210"/>
      <c r="G453" s="210"/>
    </row>
    <row r="454" ht="15.75" customHeight="1">
      <c r="A454" s="210"/>
      <c r="B454" s="210"/>
      <c r="C454" s="210"/>
      <c r="D454" s="210"/>
      <c r="E454" s="210"/>
      <c r="F454" s="210"/>
      <c r="G454" s="210"/>
    </row>
    <row r="455" ht="15.75" customHeight="1">
      <c r="A455" s="210"/>
      <c r="B455" s="210"/>
      <c r="C455" s="210"/>
      <c r="D455" s="210"/>
      <c r="E455" s="210"/>
      <c r="F455" s="210"/>
      <c r="G455" s="210"/>
    </row>
    <row r="456" ht="15.75" customHeight="1">
      <c r="A456" s="210"/>
      <c r="B456" s="210"/>
      <c r="C456" s="210"/>
      <c r="D456" s="210"/>
      <c r="E456" s="210"/>
      <c r="F456" s="210"/>
      <c r="G456" s="210"/>
    </row>
    <row r="457" ht="15.75" customHeight="1">
      <c r="A457" s="210"/>
      <c r="B457" s="210"/>
      <c r="C457" s="210"/>
      <c r="D457" s="210"/>
      <c r="E457" s="210"/>
      <c r="F457" s="210"/>
      <c r="G457" s="210"/>
    </row>
    <row r="458" ht="15.75" customHeight="1">
      <c r="A458" s="210"/>
      <c r="B458" s="210"/>
      <c r="C458" s="210"/>
      <c r="D458" s="210"/>
      <c r="E458" s="210"/>
      <c r="F458" s="210"/>
      <c r="G458" s="210"/>
    </row>
    <row r="459" ht="15.75" customHeight="1">
      <c r="A459" s="210"/>
      <c r="B459" s="210"/>
      <c r="C459" s="210"/>
      <c r="D459" s="210"/>
      <c r="E459" s="210"/>
      <c r="F459" s="210"/>
      <c r="G459" s="210"/>
    </row>
    <row r="460" ht="15.75" customHeight="1">
      <c r="A460" s="210"/>
      <c r="B460" s="210"/>
      <c r="C460" s="210"/>
      <c r="D460" s="210"/>
      <c r="E460" s="210"/>
      <c r="F460" s="210"/>
      <c r="G460" s="210"/>
    </row>
    <row r="461" ht="15.75" customHeight="1">
      <c r="A461" s="210"/>
      <c r="B461" s="210"/>
      <c r="C461" s="210"/>
      <c r="D461" s="210"/>
      <c r="E461" s="210"/>
      <c r="F461" s="210"/>
      <c r="G461" s="210"/>
    </row>
    <row r="462" ht="15.75" customHeight="1">
      <c r="A462" s="210"/>
      <c r="B462" s="210"/>
      <c r="C462" s="210"/>
      <c r="D462" s="210"/>
      <c r="E462" s="210"/>
      <c r="F462" s="210"/>
      <c r="G462" s="210"/>
    </row>
    <row r="463" ht="15.75" customHeight="1">
      <c r="A463" s="210"/>
      <c r="B463" s="210"/>
      <c r="C463" s="210"/>
      <c r="D463" s="210"/>
      <c r="E463" s="210"/>
      <c r="F463" s="210"/>
      <c r="G463" s="210"/>
    </row>
    <row r="464" ht="15.75" customHeight="1">
      <c r="A464" s="210"/>
      <c r="B464" s="210"/>
      <c r="C464" s="210"/>
      <c r="D464" s="210"/>
      <c r="E464" s="210"/>
      <c r="F464" s="210"/>
      <c r="G464" s="210"/>
    </row>
    <row r="465" ht="15.75" customHeight="1">
      <c r="A465" s="210"/>
      <c r="B465" s="210"/>
      <c r="C465" s="210"/>
      <c r="D465" s="210"/>
      <c r="E465" s="210"/>
      <c r="F465" s="210"/>
      <c r="G465" s="210"/>
    </row>
    <row r="466" ht="15.75" customHeight="1">
      <c r="A466" s="210"/>
      <c r="B466" s="210"/>
      <c r="C466" s="210"/>
      <c r="D466" s="210"/>
      <c r="E466" s="210"/>
      <c r="F466" s="210"/>
      <c r="G466" s="210"/>
    </row>
    <row r="467" ht="15.75" customHeight="1">
      <c r="A467" s="210"/>
      <c r="B467" s="210"/>
      <c r="C467" s="210"/>
      <c r="D467" s="210"/>
      <c r="E467" s="210"/>
      <c r="F467" s="210"/>
      <c r="G467" s="210"/>
    </row>
    <row r="468" ht="15.75" customHeight="1">
      <c r="A468" s="210"/>
      <c r="B468" s="210"/>
      <c r="C468" s="210"/>
      <c r="D468" s="210"/>
      <c r="E468" s="210"/>
      <c r="F468" s="210"/>
      <c r="G468" s="210"/>
    </row>
    <row r="469" ht="15.75" customHeight="1">
      <c r="A469" s="210"/>
      <c r="B469" s="210"/>
      <c r="C469" s="210"/>
      <c r="D469" s="210"/>
      <c r="E469" s="210"/>
      <c r="F469" s="210"/>
      <c r="G469" s="210"/>
    </row>
    <row r="470" ht="15.75" customHeight="1">
      <c r="A470" s="210"/>
      <c r="B470" s="210"/>
      <c r="C470" s="210"/>
      <c r="D470" s="210"/>
      <c r="E470" s="210"/>
      <c r="F470" s="210"/>
      <c r="G470" s="210"/>
    </row>
    <row r="471" ht="15.75" customHeight="1">
      <c r="A471" s="210"/>
      <c r="B471" s="210"/>
      <c r="C471" s="210"/>
      <c r="D471" s="210"/>
      <c r="E471" s="210"/>
      <c r="F471" s="210"/>
      <c r="G471" s="210"/>
    </row>
    <row r="472" ht="15.75" customHeight="1">
      <c r="A472" s="210"/>
      <c r="B472" s="210"/>
      <c r="C472" s="210"/>
      <c r="D472" s="210"/>
      <c r="E472" s="210"/>
      <c r="F472" s="210"/>
      <c r="G472" s="210"/>
    </row>
    <row r="473" ht="15.75" customHeight="1">
      <c r="A473" s="210"/>
      <c r="B473" s="210"/>
      <c r="C473" s="210"/>
      <c r="D473" s="210"/>
      <c r="E473" s="210"/>
      <c r="F473" s="210"/>
      <c r="G473" s="210"/>
    </row>
    <row r="474" ht="15.75" customHeight="1">
      <c r="A474" s="210"/>
      <c r="B474" s="210"/>
      <c r="C474" s="210"/>
      <c r="D474" s="210"/>
      <c r="E474" s="210"/>
      <c r="F474" s="210"/>
      <c r="G474" s="210"/>
    </row>
    <row r="475" ht="15.75" customHeight="1">
      <c r="A475" s="210"/>
      <c r="B475" s="210"/>
      <c r="C475" s="210"/>
      <c r="D475" s="210"/>
      <c r="E475" s="210"/>
      <c r="F475" s="210"/>
      <c r="G475" s="210"/>
    </row>
    <row r="476" ht="15.75" customHeight="1">
      <c r="A476" s="210"/>
      <c r="B476" s="210"/>
      <c r="C476" s="210"/>
      <c r="D476" s="210"/>
      <c r="E476" s="210"/>
      <c r="F476" s="210"/>
      <c r="G476" s="210"/>
    </row>
    <row r="477" ht="15.75" customHeight="1">
      <c r="A477" s="210"/>
      <c r="B477" s="210"/>
      <c r="C477" s="210"/>
      <c r="D477" s="210"/>
      <c r="E477" s="210"/>
      <c r="F477" s="210"/>
      <c r="G477" s="210"/>
    </row>
    <row r="478" ht="15.75" customHeight="1">
      <c r="A478" s="210"/>
      <c r="B478" s="210"/>
      <c r="C478" s="210"/>
      <c r="D478" s="210"/>
      <c r="E478" s="210"/>
      <c r="F478" s="210"/>
      <c r="G478" s="210"/>
    </row>
    <row r="479" ht="15.75" customHeight="1">
      <c r="A479" s="210"/>
      <c r="B479" s="210"/>
      <c r="C479" s="210"/>
      <c r="D479" s="210"/>
      <c r="E479" s="210"/>
      <c r="F479" s="210"/>
      <c r="G479" s="210"/>
    </row>
    <row r="480" ht="15.75" customHeight="1">
      <c r="A480" s="210"/>
      <c r="B480" s="210"/>
      <c r="C480" s="210"/>
      <c r="D480" s="210"/>
      <c r="E480" s="210"/>
      <c r="F480" s="210"/>
      <c r="G480" s="210"/>
    </row>
    <row r="481" ht="15.75" customHeight="1">
      <c r="A481" s="210"/>
      <c r="B481" s="210"/>
      <c r="C481" s="210"/>
      <c r="D481" s="210"/>
      <c r="E481" s="210"/>
      <c r="F481" s="210"/>
      <c r="G481" s="210"/>
    </row>
    <row r="482" ht="15.75" customHeight="1">
      <c r="A482" s="210"/>
      <c r="B482" s="210"/>
      <c r="C482" s="210"/>
      <c r="D482" s="210"/>
      <c r="E482" s="210"/>
      <c r="F482" s="210"/>
      <c r="G482" s="210"/>
    </row>
    <row r="483" ht="15.75" customHeight="1">
      <c r="A483" s="210"/>
      <c r="B483" s="210"/>
      <c r="C483" s="210"/>
      <c r="D483" s="210"/>
      <c r="E483" s="210"/>
      <c r="F483" s="210"/>
      <c r="G483" s="210"/>
    </row>
    <row r="484" ht="15.75" customHeight="1">
      <c r="A484" s="210"/>
      <c r="B484" s="210"/>
      <c r="C484" s="210"/>
      <c r="D484" s="210"/>
      <c r="E484" s="210"/>
      <c r="F484" s="210"/>
      <c r="G484" s="210"/>
    </row>
    <row r="485" ht="15.75" customHeight="1">
      <c r="A485" s="210"/>
      <c r="B485" s="210"/>
      <c r="C485" s="210"/>
      <c r="D485" s="210"/>
      <c r="E485" s="210"/>
      <c r="F485" s="210"/>
      <c r="G485" s="210"/>
    </row>
    <row r="486" ht="15.75" customHeight="1">
      <c r="A486" s="210"/>
      <c r="B486" s="210"/>
      <c r="C486" s="210"/>
      <c r="D486" s="210"/>
      <c r="E486" s="210"/>
      <c r="F486" s="210"/>
      <c r="G486" s="210"/>
    </row>
    <row r="487" ht="15.75" customHeight="1">
      <c r="A487" s="210"/>
      <c r="B487" s="210"/>
      <c r="C487" s="210"/>
      <c r="D487" s="210"/>
      <c r="E487" s="210"/>
      <c r="F487" s="210"/>
      <c r="G487" s="210"/>
    </row>
    <row r="488" ht="15.75" customHeight="1">
      <c r="A488" s="210"/>
      <c r="B488" s="210"/>
      <c r="C488" s="210"/>
      <c r="D488" s="210"/>
      <c r="E488" s="210"/>
      <c r="F488" s="210"/>
      <c r="G488" s="210"/>
    </row>
    <row r="489" ht="15.75" customHeight="1">
      <c r="A489" s="210"/>
      <c r="B489" s="210"/>
      <c r="C489" s="210"/>
      <c r="D489" s="210"/>
      <c r="E489" s="210"/>
      <c r="F489" s="210"/>
      <c r="G489" s="210"/>
    </row>
    <row r="490" ht="15.75" customHeight="1">
      <c r="A490" s="210"/>
      <c r="B490" s="210"/>
      <c r="C490" s="210"/>
      <c r="D490" s="210"/>
      <c r="E490" s="210"/>
      <c r="F490" s="210"/>
      <c r="G490" s="210"/>
    </row>
    <row r="491" ht="15.75" customHeight="1">
      <c r="A491" s="210"/>
      <c r="B491" s="210"/>
      <c r="C491" s="210"/>
      <c r="D491" s="210"/>
      <c r="E491" s="210"/>
      <c r="F491" s="210"/>
      <c r="G491" s="210"/>
    </row>
    <row r="492" ht="15.75" customHeight="1">
      <c r="A492" s="210"/>
      <c r="B492" s="210"/>
      <c r="C492" s="210"/>
      <c r="D492" s="210"/>
      <c r="E492" s="210"/>
      <c r="F492" s="210"/>
      <c r="G492" s="210"/>
    </row>
    <row r="493" ht="15.75" customHeight="1">
      <c r="A493" s="210"/>
      <c r="B493" s="210"/>
      <c r="C493" s="210"/>
      <c r="D493" s="210"/>
      <c r="E493" s="210"/>
      <c r="F493" s="210"/>
      <c r="G493" s="210"/>
    </row>
    <row r="494" ht="15.75" customHeight="1">
      <c r="A494" s="210"/>
      <c r="B494" s="210"/>
      <c r="C494" s="210"/>
      <c r="D494" s="210"/>
      <c r="E494" s="210"/>
      <c r="F494" s="210"/>
      <c r="G494" s="210"/>
    </row>
    <row r="495" ht="15.75" customHeight="1">
      <c r="A495" s="210"/>
      <c r="B495" s="210"/>
      <c r="C495" s="210"/>
      <c r="D495" s="210"/>
      <c r="E495" s="210"/>
      <c r="F495" s="210"/>
      <c r="G495" s="210"/>
    </row>
    <row r="496" ht="15.75" customHeight="1">
      <c r="A496" s="210"/>
      <c r="B496" s="210"/>
      <c r="C496" s="210"/>
      <c r="D496" s="210"/>
      <c r="E496" s="210"/>
      <c r="F496" s="210"/>
      <c r="G496" s="210"/>
    </row>
    <row r="497" ht="15.75" customHeight="1">
      <c r="A497" s="210"/>
      <c r="B497" s="210"/>
      <c r="C497" s="210"/>
      <c r="D497" s="210"/>
      <c r="E497" s="210"/>
      <c r="F497" s="210"/>
      <c r="G497" s="210"/>
    </row>
    <row r="498" ht="15.75" customHeight="1">
      <c r="A498" s="210"/>
      <c r="B498" s="210"/>
      <c r="C498" s="210"/>
      <c r="D498" s="210"/>
      <c r="E498" s="210"/>
      <c r="F498" s="210"/>
      <c r="G498" s="210"/>
    </row>
    <row r="499" ht="15.75" customHeight="1">
      <c r="A499" s="210"/>
      <c r="B499" s="210"/>
      <c r="C499" s="210"/>
      <c r="D499" s="210"/>
      <c r="E499" s="210"/>
      <c r="F499" s="210"/>
      <c r="G499" s="210"/>
    </row>
    <row r="500" ht="15.75" customHeight="1">
      <c r="A500" s="210"/>
      <c r="B500" s="210"/>
      <c r="C500" s="210"/>
      <c r="D500" s="210"/>
      <c r="E500" s="210"/>
      <c r="F500" s="210"/>
      <c r="G500" s="210"/>
    </row>
    <row r="501" ht="15.75" customHeight="1">
      <c r="A501" s="210"/>
      <c r="B501" s="210"/>
      <c r="C501" s="210"/>
      <c r="D501" s="210"/>
      <c r="E501" s="210"/>
      <c r="F501" s="210"/>
      <c r="G501" s="210"/>
    </row>
    <row r="502" ht="15.75" customHeight="1">
      <c r="A502" s="210"/>
      <c r="B502" s="210"/>
      <c r="C502" s="210"/>
      <c r="D502" s="210"/>
      <c r="E502" s="210"/>
      <c r="F502" s="210"/>
      <c r="G502" s="210"/>
    </row>
    <row r="503" ht="15.75" customHeight="1">
      <c r="A503" s="210"/>
      <c r="B503" s="210"/>
      <c r="C503" s="210"/>
      <c r="D503" s="210"/>
      <c r="E503" s="210"/>
      <c r="F503" s="210"/>
      <c r="G503" s="210"/>
    </row>
    <row r="504" ht="15.75" customHeight="1">
      <c r="A504" s="210"/>
      <c r="B504" s="210"/>
      <c r="C504" s="210"/>
      <c r="D504" s="210"/>
      <c r="E504" s="210"/>
      <c r="F504" s="210"/>
      <c r="G504" s="210"/>
    </row>
    <row r="505" ht="15.75" customHeight="1">
      <c r="A505" s="210"/>
      <c r="B505" s="210"/>
      <c r="C505" s="210"/>
      <c r="D505" s="210"/>
      <c r="E505" s="210"/>
      <c r="F505" s="210"/>
      <c r="G505" s="210"/>
    </row>
    <row r="506" ht="15.75" customHeight="1">
      <c r="A506" s="210"/>
      <c r="B506" s="210"/>
      <c r="C506" s="210"/>
      <c r="D506" s="210"/>
      <c r="E506" s="210"/>
      <c r="F506" s="210"/>
      <c r="G506" s="210"/>
    </row>
    <row r="507" ht="15.75" customHeight="1">
      <c r="A507" s="210"/>
      <c r="B507" s="210"/>
      <c r="C507" s="210"/>
      <c r="D507" s="210"/>
      <c r="E507" s="210"/>
      <c r="F507" s="210"/>
      <c r="G507" s="210"/>
    </row>
    <row r="508" ht="15.75" customHeight="1">
      <c r="A508" s="210"/>
      <c r="B508" s="210"/>
      <c r="C508" s="210"/>
      <c r="D508" s="210"/>
      <c r="E508" s="210"/>
      <c r="F508" s="210"/>
      <c r="G508" s="210"/>
    </row>
    <row r="509" ht="15.75" customHeight="1">
      <c r="A509" s="210"/>
      <c r="B509" s="210"/>
      <c r="C509" s="210"/>
      <c r="D509" s="210"/>
      <c r="E509" s="210"/>
      <c r="F509" s="210"/>
      <c r="G509" s="210"/>
    </row>
    <row r="510" ht="15.75" customHeight="1">
      <c r="A510" s="210"/>
      <c r="B510" s="210"/>
      <c r="C510" s="210"/>
      <c r="D510" s="210"/>
      <c r="E510" s="210"/>
      <c r="F510" s="210"/>
      <c r="G510" s="210"/>
    </row>
    <row r="511" ht="15.75" customHeight="1">
      <c r="A511" s="210"/>
      <c r="B511" s="210"/>
      <c r="C511" s="210"/>
      <c r="D511" s="210"/>
      <c r="E511" s="210"/>
      <c r="F511" s="210"/>
      <c r="G511" s="210"/>
    </row>
    <row r="512" ht="15.75" customHeight="1">
      <c r="A512" s="210"/>
      <c r="B512" s="210"/>
      <c r="C512" s="210"/>
      <c r="D512" s="210"/>
      <c r="E512" s="210"/>
      <c r="F512" s="210"/>
      <c r="G512" s="210"/>
    </row>
    <row r="513" ht="15.75" customHeight="1">
      <c r="A513" s="210"/>
      <c r="B513" s="210"/>
      <c r="C513" s="210"/>
      <c r="D513" s="210"/>
      <c r="E513" s="210"/>
      <c r="F513" s="210"/>
      <c r="G513" s="210"/>
    </row>
    <row r="514" ht="15.75" customHeight="1">
      <c r="A514" s="210"/>
      <c r="B514" s="210"/>
      <c r="C514" s="210"/>
      <c r="D514" s="210"/>
      <c r="E514" s="210"/>
      <c r="F514" s="210"/>
      <c r="G514" s="210"/>
    </row>
    <row r="515" ht="15.75" customHeight="1">
      <c r="A515" s="210"/>
      <c r="B515" s="210"/>
      <c r="C515" s="210"/>
      <c r="D515" s="210"/>
      <c r="E515" s="210"/>
      <c r="F515" s="210"/>
      <c r="G515" s="210"/>
    </row>
    <row r="516" ht="15.75" customHeight="1">
      <c r="A516" s="210"/>
      <c r="B516" s="210"/>
      <c r="C516" s="210"/>
      <c r="D516" s="210"/>
      <c r="E516" s="210"/>
      <c r="F516" s="210"/>
      <c r="G516" s="210"/>
    </row>
    <row r="517" ht="15.75" customHeight="1">
      <c r="A517" s="210"/>
      <c r="B517" s="210"/>
      <c r="C517" s="210"/>
      <c r="D517" s="210"/>
      <c r="E517" s="210"/>
      <c r="F517" s="210"/>
      <c r="G517" s="210"/>
    </row>
    <row r="518" ht="15.75" customHeight="1">
      <c r="A518" s="210"/>
      <c r="B518" s="210"/>
      <c r="C518" s="210"/>
      <c r="D518" s="210"/>
      <c r="E518" s="210"/>
      <c r="F518" s="210"/>
      <c r="G518" s="210"/>
    </row>
    <row r="519" ht="15.75" customHeight="1">
      <c r="A519" s="210"/>
      <c r="B519" s="210"/>
      <c r="C519" s="210"/>
      <c r="D519" s="210"/>
      <c r="E519" s="210"/>
      <c r="F519" s="210"/>
      <c r="G519" s="210"/>
    </row>
    <row r="520" ht="15.75" customHeight="1">
      <c r="A520" s="210"/>
      <c r="B520" s="210"/>
      <c r="C520" s="210"/>
      <c r="D520" s="210"/>
      <c r="E520" s="210"/>
      <c r="F520" s="210"/>
      <c r="G520" s="210"/>
    </row>
    <row r="521" ht="15.75" customHeight="1">
      <c r="A521" s="210"/>
      <c r="B521" s="210"/>
      <c r="C521" s="210"/>
      <c r="D521" s="210"/>
      <c r="E521" s="210"/>
      <c r="F521" s="210"/>
      <c r="G521" s="210"/>
    </row>
    <row r="522" ht="15.75" customHeight="1">
      <c r="A522" s="210"/>
      <c r="B522" s="210"/>
      <c r="C522" s="210"/>
      <c r="D522" s="210"/>
      <c r="E522" s="210"/>
      <c r="F522" s="210"/>
      <c r="G522" s="210"/>
    </row>
    <row r="523" ht="15.75" customHeight="1">
      <c r="A523" s="210"/>
      <c r="B523" s="210"/>
      <c r="C523" s="210"/>
      <c r="D523" s="210"/>
      <c r="E523" s="210"/>
      <c r="F523" s="210"/>
      <c r="G523" s="210"/>
    </row>
    <row r="524" ht="15.75" customHeight="1">
      <c r="A524" s="210"/>
      <c r="B524" s="210"/>
      <c r="C524" s="210"/>
      <c r="D524" s="210"/>
      <c r="E524" s="210"/>
      <c r="F524" s="210"/>
      <c r="G524" s="210"/>
    </row>
    <row r="525" ht="15.75" customHeight="1">
      <c r="A525" s="210"/>
      <c r="B525" s="210"/>
      <c r="C525" s="210"/>
      <c r="D525" s="210"/>
      <c r="E525" s="210"/>
      <c r="F525" s="210"/>
      <c r="G525" s="210"/>
    </row>
    <row r="526" ht="15.75" customHeight="1">
      <c r="A526" s="210"/>
      <c r="B526" s="210"/>
      <c r="C526" s="210"/>
      <c r="D526" s="210"/>
      <c r="E526" s="210"/>
      <c r="F526" s="210"/>
      <c r="G526" s="210"/>
    </row>
    <row r="527" ht="15.75" customHeight="1">
      <c r="A527" s="210"/>
      <c r="B527" s="210"/>
      <c r="C527" s="210"/>
      <c r="D527" s="210"/>
      <c r="E527" s="210"/>
      <c r="F527" s="210"/>
      <c r="G527" s="210"/>
    </row>
    <row r="528" ht="15.75" customHeight="1">
      <c r="A528" s="210"/>
      <c r="B528" s="210"/>
      <c r="C528" s="210"/>
      <c r="D528" s="210"/>
      <c r="E528" s="210"/>
      <c r="F528" s="210"/>
      <c r="G528" s="210"/>
    </row>
    <row r="529" ht="15.75" customHeight="1">
      <c r="A529" s="210"/>
      <c r="B529" s="210"/>
      <c r="C529" s="210"/>
      <c r="D529" s="210"/>
      <c r="E529" s="210"/>
      <c r="F529" s="210"/>
      <c r="G529" s="210"/>
    </row>
    <row r="530" ht="15.75" customHeight="1">
      <c r="A530" s="210"/>
      <c r="B530" s="210"/>
      <c r="C530" s="210"/>
      <c r="D530" s="210"/>
      <c r="E530" s="210"/>
      <c r="F530" s="210"/>
      <c r="G530" s="210"/>
    </row>
    <row r="531" ht="15.75" customHeight="1">
      <c r="A531" s="210"/>
      <c r="B531" s="210"/>
      <c r="C531" s="210"/>
      <c r="D531" s="210"/>
      <c r="E531" s="210"/>
      <c r="F531" s="210"/>
      <c r="G531" s="210"/>
    </row>
    <row r="532" ht="15.75" customHeight="1">
      <c r="A532" s="210"/>
      <c r="B532" s="210"/>
      <c r="C532" s="210"/>
      <c r="D532" s="210"/>
      <c r="E532" s="210"/>
      <c r="F532" s="210"/>
      <c r="G532" s="210"/>
    </row>
    <row r="533" ht="15.75" customHeight="1">
      <c r="A533" s="210"/>
      <c r="B533" s="210"/>
      <c r="C533" s="210"/>
      <c r="D533" s="210"/>
      <c r="E533" s="210"/>
      <c r="F533" s="210"/>
      <c r="G533" s="210"/>
    </row>
    <row r="534" ht="15.75" customHeight="1">
      <c r="A534" s="210"/>
      <c r="B534" s="210"/>
      <c r="C534" s="210"/>
      <c r="D534" s="210"/>
      <c r="E534" s="210"/>
      <c r="F534" s="210"/>
      <c r="G534" s="210"/>
    </row>
    <row r="535" ht="15.75" customHeight="1">
      <c r="A535" s="210"/>
      <c r="B535" s="210"/>
      <c r="C535" s="210"/>
      <c r="D535" s="210"/>
      <c r="E535" s="210"/>
      <c r="F535" s="210"/>
      <c r="G535" s="210"/>
    </row>
    <row r="536" ht="15.75" customHeight="1">
      <c r="A536" s="210"/>
      <c r="B536" s="210"/>
      <c r="C536" s="210"/>
      <c r="D536" s="210"/>
      <c r="E536" s="210"/>
      <c r="F536" s="210"/>
      <c r="G536" s="210"/>
    </row>
    <row r="537" ht="15.75" customHeight="1">
      <c r="A537" s="210"/>
      <c r="B537" s="210"/>
      <c r="C537" s="210"/>
      <c r="D537" s="210"/>
      <c r="E537" s="210"/>
      <c r="F537" s="210"/>
      <c r="G537" s="210"/>
    </row>
    <row r="538" ht="15.75" customHeight="1">
      <c r="A538" s="210"/>
      <c r="B538" s="210"/>
      <c r="C538" s="210"/>
      <c r="D538" s="210"/>
      <c r="E538" s="210"/>
      <c r="F538" s="210"/>
      <c r="G538" s="210"/>
    </row>
    <row r="539" ht="15.75" customHeight="1">
      <c r="A539" s="210"/>
      <c r="B539" s="210"/>
      <c r="C539" s="210"/>
      <c r="D539" s="210"/>
      <c r="E539" s="210"/>
      <c r="F539" s="210"/>
      <c r="G539" s="210"/>
    </row>
    <row r="540" ht="15.75" customHeight="1">
      <c r="A540" s="210"/>
      <c r="B540" s="210"/>
      <c r="C540" s="210"/>
      <c r="D540" s="210"/>
      <c r="E540" s="210"/>
      <c r="F540" s="210"/>
      <c r="G540" s="210"/>
    </row>
    <row r="541" ht="15.75" customHeight="1">
      <c r="A541" s="210"/>
      <c r="B541" s="210"/>
      <c r="C541" s="210"/>
      <c r="D541" s="210"/>
      <c r="E541" s="210"/>
      <c r="F541" s="210"/>
      <c r="G541" s="210"/>
    </row>
    <row r="542" ht="15.75" customHeight="1">
      <c r="A542" s="210"/>
      <c r="B542" s="210"/>
      <c r="C542" s="210"/>
      <c r="D542" s="210"/>
      <c r="E542" s="210"/>
      <c r="F542" s="210"/>
      <c r="G542" s="210"/>
    </row>
    <row r="543" ht="15.75" customHeight="1">
      <c r="A543" s="210"/>
      <c r="B543" s="210"/>
      <c r="C543" s="210"/>
      <c r="D543" s="210"/>
      <c r="E543" s="210"/>
      <c r="F543" s="210"/>
      <c r="G543" s="210"/>
    </row>
    <row r="544" ht="15.75" customHeight="1">
      <c r="A544" s="210"/>
      <c r="B544" s="210"/>
      <c r="C544" s="210"/>
      <c r="D544" s="210"/>
      <c r="E544" s="210"/>
      <c r="F544" s="210"/>
      <c r="G544" s="210"/>
    </row>
    <row r="545" ht="15.75" customHeight="1">
      <c r="A545" s="210"/>
      <c r="B545" s="210"/>
      <c r="C545" s="210"/>
      <c r="D545" s="210"/>
      <c r="E545" s="210"/>
      <c r="F545" s="210"/>
      <c r="G545" s="210"/>
    </row>
    <row r="546" ht="15.75" customHeight="1">
      <c r="A546" s="210"/>
      <c r="B546" s="210"/>
      <c r="C546" s="210"/>
      <c r="D546" s="210"/>
      <c r="E546" s="210"/>
      <c r="F546" s="210"/>
      <c r="G546" s="210"/>
    </row>
    <row r="547" ht="15.75" customHeight="1">
      <c r="A547" s="210"/>
      <c r="B547" s="210"/>
      <c r="C547" s="210"/>
      <c r="D547" s="210"/>
      <c r="E547" s="210"/>
      <c r="F547" s="210"/>
      <c r="G547" s="210"/>
    </row>
    <row r="548" ht="15.75" customHeight="1">
      <c r="A548" s="210"/>
      <c r="B548" s="210"/>
      <c r="C548" s="210"/>
      <c r="D548" s="210"/>
      <c r="E548" s="210"/>
      <c r="F548" s="210"/>
      <c r="G548" s="210"/>
    </row>
    <row r="549" ht="15.75" customHeight="1">
      <c r="A549" s="210"/>
      <c r="B549" s="210"/>
      <c r="C549" s="210"/>
      <c r="D549" s="210"/>
      <c r="E549" s="210"/>
      <c r="F549" s="210"/>
      <c r="G549" s="210"/>
    </row>
    <row r="550" ht="15.75" customHeight="1">
      <c r="A550" s="210"/>
      <c r="B550" s="210"/>
      <c r="C550" s="210"/>
      <c r="D550" s="210"/>
      <c r="E550" s="210"/>
      <c r="F550" s="210"/>
      <c r="G550" s="210"/>
    </row>
    <row r="551" ht="15.75" customHeight="1">
      <c r="A551" s="210"/>
      <c r="B551" s="210"/>
      <c r="C551" s="210"/>
      <c r="D551" s="210"/>
      <c r="E551" s="210"/>
      <c r="F551" s="210"/>
      <c r="G551" s="210"/>
    </row>
    <row r="552" ht="15.75" customHeight="1">
      <c r="A552" s="210"/>
      <c r="B552" s="210"/>
      <c r="C552" s="210"/>
      <c r="D552" s="210"/>
      <c r="E552" s="210"/>
      <c r="F552" s="210"/>
      <c r="G552" s="210"/>
    </row>
    <row r="553" ht="15.75" customHeight="1">
      <c r="A553" s="210"/>
      <c r="B553" s="210"/>
      <c r="C553" s="210"/>
      <c r="D553" s="210"/>
      <c r="E553" s="210"/>
      <c r="F553" s="210"/>
      <c r="G553" s="210"/>
    </row>
    <row r="554" ht="15.75" customHeight="1">
      <c r="A554" s="210"/>
      <c r="B554" s="210"/>
      <c r="C554" s="210"/>
      <c r="D554" s="210"/>
      <c r="E554" s="210"/>
      <c r="F554" s="210"/>
      <c r="G554" s="210"/>
    </row>
    <row r="555" ht="15.75" customHeight="1">
      <c r="A555" s="210"/>
      <c r="B555" s="210"/>
      <c r="C555" s="210"/>
      <c r="D555" s="210"/>
      <c r="E555" s="210"/>
      <c r="F555" s="210"/>
      <c r="G555" s="210"/>
    </row>
    <row r="556" ht="15.75" customHeight="1">
      <c r="A556" s="210"/>
      <c r="B556" s="210"/>
      <c r="C556" s="210"/>
      <c r="D556" s="210"/>
      <c r="E556" s="210"/>
      <c r="F556" s="210"/>
      <c r="G556" s="210"/>
    </row>
    <row r="557" ht="15.75" customHeight="1">
      <c r="A557" s="210"/>
      <c r="B557" s="210"/>
      <c r="C557" s="210"/>
      <c r="D557" s="210"/>
      <c r="E557" s="210"/>
      <c r="F557" s="210"/>
      <c r="G557" s="210"/>
    </row>
    <row r="558" ht="15.75" customHeight="1">
      <c r="A558" s="210"/>
      <c r="B558" s="210"/>
      <c r="C558" s="210"/>
      <c r="D558" s="210"/>
      <c r="E558" s="210"/>
      <c r="F558" s="210"/>
      <c r="G558" s="210"/>
    </row>
    <row r="559" ht="15.75" customHeight="1">
      <c r="A559" s="210"/>
      <c r="B559" s="210"/>
      <c r="C559" s="210"/>
      <c r="D559" s="210"/>
      <c r="E559" s="210"/>
      <c r="F559" s="210"/>
      <c r="G559" s="210"/>
    </row>
    <row r="560" ht="15.75" customHeight="1">
      <c r="A560" s="210"/>
      <c r="B560" s="210"/>
      <c r="C560" s="210"/>
      <c r="D560" s="210"/>
      <c r="E560" s="210"/>
      <c r="F560" s="210"/>
      <c r="G560" s="210"/>
    </row>
    <row r="561" ht="15.75" customHeight="1">
      <c r="A561" s="210"/>
      <c r="B561" s="210"/>
      <c r="C561" s="210"/>
      <c r="D561" s="210"/>
      <c r="E561" s="210"/>
      <c r="F561" s="210"/>
      <c r="G561" s="210"/>
    </row>
    <row r="562" ht="15.75" customHeight="1">
      <c r="A562" s="210"/>
      <c r="B562" s="210"/>
      <c r="C562" s="210"/>
      <c r="D562" s="210"/>
      <c r="E562" s="210"/>
      <c r="F562" s="210"/>
      <c r="G562" s="210"/>
    </row>
    <row r="563" ht="15.75" customHeight="1">
      <c r="A563" s="210"/>
      <c r="B563" s="210"/>
      <c r="C563" s="210"/>
      <c r="D563" s="210"/>
      <c r="E563" s="210"/>
      <c r="F563" s="210"/>
      <c r="G563" s="210"/>
    </row>
    <row r="564" ht="15.75" customHeight="1">
      <c r="A564" s="210"/>
      <c r="B564" s="210"/>
      <c r="C564" s="210"/>
      <c r="D564" s="210"/>
      <c r="E564" s="210"/>
      <c r="F564" s="210"/>
      <c r="G564" s="210"/>
    </row>
    <row r="565" ht="15.75" customHeight="1">
      <c r="A565" s="210"/>
      <c r="B565" s="210"/>
      <c r="C565" s="210"/>
      <c r="D565" s="210"/>
      <c r="E565" s="210"/>
      <c r="F565" s="210"/>
      <c r="G565" s="210"/>
    </row>
    <row r="566" ht="15.75" customHeight="1">
      <c r="A566" s="210"/>
      <c r="B566" s="210"/>
      <c r="C566" s="210"/>
      <c r="D566" s="210"/>
      <c r="E566" s="210"/>
      <c r="F566" s="210"/>
      <c r="G566" s="210"/>
    </row>
    <row r="567" ht="15.75" customHeight="1">
      <c r="A567" s="210"/>
      <c r="B567" s="210"/>
      <c r="C567" s="210"/>
      <c r="D567" s="210"/>
      <c r="E567" s="210"/>
      <c r="F567" s="210"/>
      <c r="G567" s="210"/>
    </row>
    <row r="568" ht="15.75" customHeight="1">
      <c r="A568" s="210"/>
      <c r="B568" s="210"/>
      <c r="C568" s="210"/>
      <c r="D568" s="210"/>
      <c r="E568" s="210"/>
      <c r="F568" s="210"/>
      <c r="G568" s="210"/>
    </row>
    <row r="569" ht="15.75" customHeight="1">
      <c r="A569" s="210"/>
      <c r="B569" s="210"/>
      <c r="C569" s="210"/>
      <c r="D569" s="210"/>
      <c r="E569" s="210"/>
      <c r="F569" s="210"/>
      <c r="G569" s="210"/>
    </row>
    <row r="570" ht="15.75" customHeight="1">
      <c r="A570" s="210"/>
      <c r="B570" s="210"/>
      <c r="C570" s="210"/>
      <c r="D570" s="210"/>
      <c r="E570" s="210"/>
      <c r="F570" s="210"/>
      <c r="G570" s="210"/>
    </row>
    <row r="571" ht="15.75" customHeight="1">
      <c r="A571" s="210"/>
      <c r="B571" s="210"/>
      <c r="C571" s="210"/>
      <c r="D571" s="210"/>
      <c r="E571" s="210"/>
      <c r="F571" s="210"/>
      <c r="G571" s="210"/>
    </row>
    <row r="572" ht="15.75" customHeight="1">
      <c r="A572" s="210"/>
      <c r="B572" s="210"/>
      <c r="C572" s="210"/>
      <c r="D572" s="210"/>
      <c r="E572" s="210"/>
      <c r="F572" s="210"/>
      <c r="G572" s="210"/>
    </row>
    <row r="573" ht="15.75" customHeight="1">
      <c r="A573" s="210"/>
      <c r="B573" s="210"/>
      <c r="C573" s="210"/>
      <c r="D573" s="210"/>
      <c r="E573" s="210"/>
      <c r="F573" s="210"/>
      <c r="G573" s="210"/>
    </row>
    <row r="574" ht="15.75" customHeight="1">
      <c r="A574" s="210"/>
      <c r="B574" s="210"/>
      <c r="C574" s="210"/>
      <c r="D574" s="210"/>
      <c r="E574" s="210"/>
      <c r="F574" s="210"/>
      <c r="G574" s="210"/>
    </row>
    <row r="575" ht="15.75" customHeight="1">
      <c r="A575" s="210"/>
      <c r="B575" s="210"/>
      <c r="C575" s="210"/>
      <c r="D575" s="210"/>
      <c r="E575" s="210"/>
      <c r="F575" s="210"/>
      <c r="G575" s="210"/>
    </row>
    <row r="576" ht="15.75" customHeight="1">
      <c r="A576" s="210"/>
      <c r="B576" s="210"/>
      <c r="C576" s="210"/>
      <c r="D576" s="210"/>
      <c r="E576" s="210"/>
      <c r="F576" s="210"/>
      <c r="G576" s="210"/>
    </row>
    <row r="577" ht="15.75" customHeight="1">
      <c r="A577" s="210"/>
      <c r="B577" s="210"/>
      <c r="C577" s="210"/>
      <c r="D577" s="210"/>
      <c r="E577" s="210"/>
      <c r="F577" s="210"/>
      <c r="G577" s="210"/>
    </row>
    <row r="578" ht="15.75" customHeight="1">
      <c r="A578" s="210"/>
      <c r="B578" s="210"/>
      <c r="C578" s="210"/>
      <c r="D578" s="210"/>
      <c r="E578" s="210"/>
      <c r="F578" s="210"/>
      <c r="G578" s="210"/>
    </row>
    <row r="579" ht="15.75" customHeight="1">
      <c r="A579" s="210"/>
      <c r="B579" s="210"/>
      <c r="C579" s="210"/>
      <c r="D579" s="210"/>
      <c r="E579" s="210"/>
      <c r="F579" s="210"/>
      <c r="G579" s="210"/>
    </row>
    <row r="580" ht="15.75" customHeight="1">
      <c r="A580" s="210"/>
      <c r="B580" s="210"/>
      <c r="C580" s="210"/>
      <c r="D580" s="210"/>
      <c r="E580" s="210"/>
      <c r="F580" s="210"/>
      <c r="G580" s="210"/>
    </row>
    <row r="581" ht="15.75" customHeight="1">
      <c r="A581" s="210"/>
      <c r="B581" s="210"/>
      <c r="C581" s="210"/>
      <c r="D581" s="210"/>
      <c r="E581" s="210"/>
      <c r="F581" s="210"/>
      <c r="G581" s="210"/>
    </row>
    <row r="582" ht="15.75" customHeight="1">
      <c r="A582" s="210"/>
      <c r="B582" s="210"/>
      <c r="C582" s="210"/>
      <c r="D582" s="210"/>
      <c r="E582" s="210"/>
      <c r="F582" s="210"/>
      <c r="G582" s="210"/>
    </row>
    <row r="583" ht="15.75" customHeight="1">
      <c r="A583" s="210"/>
      <c r="B583" s="210"/>
      <c r="C583" s="210"/>
      <c r="D583" s="210"/>
      <c r="E583" s="210"/>
      <c r="F583" s="210"/>
      <c r="G583" s="210"/>
    </row>
    <row r="584" ht="15.75" customHeight="1">
      <c r="A584" s="210"/>
      <c r="B584" s="210"/>
      <c r="C584" s="210"/>
      <c r="D584" s="210"/>
      <c r="E584" s="210"/>
      <c r="F584" s="210"/>
      <c r="G584" s="210"/>
    </row>
    <row r="585" ht="15.75" customHeight="1">
      <c r="A585" s="210"/>
      <c r="B585" s="210"/>
      <c r="C585" s="210"/>
      <c r="D585" s="210"/>
      <c r="E585" s="210"/>
      <c r="F585" s="210"/>
      <c r="G585" s="210"/>
    </row>
    <row r="586" ht="15.75" customHeight="1">
      <c r="A586" s="210"/>
      <c r="B586" s="210"/>
      <c r="C586" s="210"/>
      <c r="D586" s="210"/>
      <c r="E586" s="210"/>
      <c r="F586" s="210"/>
      <c r="G586" s="210"/>
    </row>
    <row r="587" ht="15.75" customHeight="1">
      <c r="A587" s="210"/>
      <c r="B587" s="210"/>
      <c r="C587" s="210"/>
      <c r="D587" s="210"/>
      <c r="E587" s="210"/>
      <c r="F587" s="210"/>
      <c r="G587" s="210"/>
    </row>
    <row r="588" ht="15.75" customHeight="1">
      <c r="A588" s="210"/>
      <c r="B588" s="210"/>
      <c r="C588" s="210"/>
      <c r="D588" s="210"/>
      <c r="E588" s="210"/>
      <c r="F588" s="210"/>
      <c r="G588" s="210"/>
    </row>
    <row r="589" ht="15.75" customHeight="1">
      <c r="A589" s="210"/>
      <c r="B589" s="210"/>
      <c r="C589" s="210"/>
      <c r="D589" s="210"/>
      <c r="E589" s="210"/>
      <c r="F589" s="210"/>
      <c r="G589" s="210"/>
    </row>
    <row r="590" ht="15.75" customHeight="1">
      <c r="A590" s="210"/>
      <c r="B590" s="210"/>
      <c r="C590" s="210"/>
      <c r="D590" s="210"/>
      <c r="E590" s="210"/>
      <c r="F590" s="210"/>
      <c r="G590" s="210"/>
    </row>
    <row r="591" ht="15.75" customHeight="1">
      <c r="A591" s="210"/>
      <c r="B591" s="210"/>
      <c r="C591" s="210"/>
      <c r="D591" s="210"/>
      <c r="E591" s="210"/>
      <c r="F591" s="210"/>
      <c r="G591" s="210"/>
    </row>
    <row r="592" ht="15.75" customHeight="1">
      <c r="A592" s="210"/>
      <c r="B592" s="210"/>
      <c r="C592" s="210"/>
      <c r="D592" s="210"/>
      <c r="E592" s="210"/>
      <c r="F592" s="210"/>
      <c r="G592" s="210"/>
    </row>
    <row r="593" ht="15.75" customHeight="1">
      <c r="A593" s="210"/>
      <c r="B593" s="210"/>
      <c r="C593" s="210"/>
      <c r="D593" s="210"/>
      <c r="E593" s="210"/>
      <c r="F593" s="210"/>
      <c r="G593" s="210"/>
    </row>
    <row r="594" ht="15.75" customHeight="1">
      <c r="A594" s="210"/>
      <c r="B594" s="210"/>
      <c r="C594" s="210"/>
      <c r="D594" s="210"/>
      <c r="E594" s="210"/>
      <c r="F594" s="210"/>
      <c r="G594" s="210"/>
    </row>
    <row r="595" ht="15.75" customHeight="1">
      <c r="A595" s="210"/>
      <c r="B595" s="210"/>
      <c r="C595" s="210"/>
      <c r="D595" s="210"/>
      <c r="E595" s="210"/>
      <c r="F595" s="210"/>
      <c r="G595" s="210"/>
    </row>
    <row r="596" ht="15.75" customHeight="1">
      <c r="A596" s="210"/>
      <c r="B596" s="210"/>
      <c r="C596" s="210"/>
      <c r="D596" s="210"/>
      <c r="E596" s="210"/>
      <c r="F596" s="210"/>
      <c r="G596" s="210"/>
    </row>
    <row r="597" ht="15.75" customHeight="1">
      <c r="A597" s="210"/>
      <c r="B597" s="210"/>
      <c r="C597" s="210"/>
      <c r="D597" s="210"/>
      <c r="E597" s="210"/>
      <c r="F597" s="210"/>
      <c r="G597" s="210"/>
    </row>
    <row r="598" ht="15.75" customHeight="1">
      <c r="A598" s="210"/>
      <c r="B598" s="210"/>
      <c r="C598" s="210"/>
      <c r="D598" s="210"/>
      <c r="E598" s="210"/>
      <c r="F598" s="210"/>
      <c r="G598" s="210"/>
    </row>
    <row r="599" ht="15.75" customHeight="1">
      <c r="A599" s="210"/>
      <c r="B599" s="210"/>
      <c r="C599" s="210"/>
      <c r="D599" s="210"/>
      <c r="E599" s="210"/>
      <c r="F599" s="210"/>
      <c r="G599" s="210"/>
    </row>
    <row r="600" ht="15.75" customHeight="1">
      <c r="A600" s="210"/>
      <c r="B600" s="210"/>
      <c r="C600" s="210"/>
      <c r="D600" s="210"/>
      <c r="E600" s="210"/>
      <c r="F600" s="210"/>
      <c r="G600" s="210"/>
    </row>
    <row r="601" ht="15.75" customHeight="1">
      <c r="A601" s="210"/>
      <c r="B601" s="210"/>
      <c r="C601" s="210"/>
      <c r="D601" s="210"/>
      <c r="E601" s="210"/>
      <c r="F601" s="210"/>
      <c r="G601" s="210"/>
    </row>
    <row r="602" ht="15.75" customHeight="1">
      <c r="A602" s="210"/>
      <c r="B602" s="210"/>
      <c r="C602" s="210"/>
      <c r="D602" s="210"/>
      <c r="E602" s="210"/>
      <c r="F602" s="210"/>
      <c r="G602" s="210"/>
    </row>
    <row r="603" ht="15.75" customHeight="1">
      <c r="A603" s="210"/>
      <c r="B603" s="210"/>
      <c r="C603" s="210"/>
      <c r="D603" s="210"/>
      <c r="E603" s="210"/>
      <c r="F603" s="210"/>
      <c r="G603" s="210"/>
    </row>
    <row r="604" ht="15.75" customHeight="1">
      <c r="A604" s="210"/>
      <c r="B604" s="210"/>
      <c r="C604" s="210"/>
      <c r="D604" s="210"/>
      <c r="E604" s="210"/>
      <c r="F604" s="210"/>
      <c r="G604" s="210"/>
    </row>
    <row r="605" ht="15.75" customHeight="1">
      <c r="A605" s="210"/>
      <c r="B605" s="210"/>
      <c r="C605" s="210"/>
      <c r="D605" s="210"/>
      <c r="E605" s="210"/>
      <c r="F605" s="210"/>
      <c r="G605" s="210"/>
    </row>
    <row r="606" ht="15.75" customHeight="1">
      <c r="A606" s="210"/>
      <c r="B606" s="210"/>
      <c r="C606" s="210"/>
      <c r="D606" s="210"/>
      <c r="E606" s="210"/>
      <c r="F606" s="210"/>
      <c r="G606" s="210"/>
    </row>
    <row r="607" ht="15.75" customHeight="1">
      <c r="A607" s="210"/>
      <c r="B607" s="210"/>
      <c r="C607" s="210"/>
      <c r="D607" s="210"/>
      <c r="E607" s="210"/>
      <c r="F607" s="210"/>
      <c r="G607" s="210"/>
    </row>
    <row r="608" ht="15.75" customHeight="1">
      <c r="A608" s="210"/>
      <c r="B608" s="210"/>
      <c r="C608" s="210"/>
      <c r="D608" s="210"/>
      <c r="E608" s="210"/>
      <c r="F608" s="210"/>
      <c r="G608" s="210"/>
    </row>
    <row r="609" ht="15.75" customHeight="1">
      <c r="A609" s="210"/>
      <c r="B609" s="210"/>
      <c r="C609" s="210"/>
      <c r="D609" s="210"/>
      <c r="E609" s="210"/>
      <c r="F609" s="210"/>
      <c r="G609" s="210"/>
    </row>
    <row r="610" ht="15.75" customHeight="1">
      <c r="A610" s="210"/>
      <c r="B610" s="210"/>
      <c r="C610" s="210"/>
      <c r="D610" s="210"/>
      <c r="E610" s="210"/>
      <c r="F610" s="210"/>
      <c r="G610" s="210"/>
    </row>
    <row r="611" ht="15.75" customHeight="1">
      <c r="A611" s="210"/>
      <c r="B611" s="210"/>
      <c r="C611" s="210"/>
      <c r="D611" s="210"/>
      <c r="E611" s="210"/>
      <c r="F611" s="210"/>
      <c r="G611" s="210"/>
    </row>
    <row r="612" ht="15.75" customHeight="1">
      <c r="A612" s="210"/>
      <c r="B612" s="210"/>
      <c r="C612" s="210"/>
      <c r="D612" s="210"/>
      <c r="E612" s="210"/>
      <c r="F612" s="210"/>
      <c r="G612" s="210"/>
    </row>
    <row r="613" ht="15.75" customHeight="1">
      <c r="A613" s="210"/>
      <c r="B613" s="210"/>
      <c r="C613" s="210"/>
      <c r="D613" s="210"/>
      <c r="E613" s="210"/>
      <c r="F613" s="210"/>
      <c r="G613" s="210"/>
    </row>
    <row r="614" ht="15.75" customHeight="1">
      <c r="A614" s="210"/>
      <c r="B614" s="210"/>
      <c r="C614" s="210"/>
      <c r="D614" s="210"/>
      <c r="E614" s="210"/>
      <c r="F614" s="210"/>
      <c r="G614" s="210"/>
    </row>
    <row r="615" ht="15.75" customHeight="1">
      <c r="A615" s="210"/>
      <c r="B615" s="210"/>
      <c r="C615" s="210"/>
      <c r="D615" s="210"/>
      <c r="E615" s="210"/>
      <c r="F615" s="210"/>
      <c r="G615" s="210"/>
    </row>
    <row r="616" ht="15.75" customHeight="1">
      <c r="A616" s="210"/>
      <c r="B616" s="210"/>
      <c r="C616" s="210"/>
      <c r="D616" s="210"/>
      <c r="E616" s="210"/>
      <c r="F616" s="210"/>
      <c r="G616" s="210"/>
    </row>
    <row r="617" ht="15.75" customHeight="1">
      <c r="A617" s="210"/>
      <c r="B617" s="210"/>
      <c r="C617" s="210"/>
      <c r="D617" s="210"/>
      <c r="E617" s="210"/>
      <c r="F617" s="210"/>
      <c r="G617" s="210"/>
    </row>
    <row r="618" ht="15.75" customHeight="1">
      <c r="A618" s="210"/>
      <c r="B618" s="210"/>
      <c r="C618" s="210"/>
      <c r="D618" s="210"/>
      <c r="E618" s="210"/>
      <c r="F618" s="210"/>
      <c r="G618" s="210"/>
    </row>
    <row r="619" ht="15.75" customHeight="1">
      <c r="A619" s="210"/>
      <c r="B619" s="210"/>
      <c r="C619" s="210"/>
      <c r="D619" s="210"/>
      <c r="E619" s="210"/>
      <c r="F619" s="210"/>
      <c r="G619" s="210"/>
    </row>
    <row r="620" ht="15.75" customHeight="1">
      <c r="A620" s="210"/>
      <c r="B620" s="210"/>
      <c r="C620" s="210"/>
      <c r="D620" s="210"/>
      <c r="E620" s="210"/>
      <c r="F620" s="210"/>
      <c r="G620" s="210"/>
    </row>
    <row r="621" ht="15.75" customHeight="1">
      <c r="A621" s="210"/>
      <c r="B621" s="210"/>
      <c r="C621" s="210"/>
      <c r="D621" s="210"/>
      <c r="E621" s="210"/>
      <c r="F621" s="210"/>
      <c r="G621" s="210"/>
    </row>
    <row r="622" ht="15.75" customHeight="1">
      <c r="A622" s="210"/>
      <c r="B622" s="210"/>
      <c r="C622" s="210"/>
      <c r="D622" s="210"/>
      <c r="E622" s="210"/>
      <c r="F622" s="210"/>
      <c r="G622" s="210"/>
    </row>
    <row r="623" ht="15.75" customHeight="1">
      <c r="A623" s="210"/>
      <c r="B623" s="210"/>
      <c r="C623" s="210"/>
      <c r="D623" s="210"/>
      <c r="E623" s="210"/>
      <c r="F623" s="210"/>
      <c r="G623" s="210"/>
    </row>
    <row r="624" ht="15.75" customHeight="1">
      <c r="A624" s="210"/>
      <c r="B624" s="210"/>
      <c r="C624" s="210"/>
      <c r="D624" s="210"/>
      <c r="E624" s="210"/>
      <c r="F624" s="210"/>
      <c r="G624" s="210"/>
    </row>
    <row r="625" ht="15.75" customHeight="1">
      <c r="A625" s="210"/>
      <c r="B625" s="210"/>
      <c r="C625" s="210"/>
      <c r="D625" s="210"/>
      <c r="E625" s="210"/>
      <c r="F625" s="210"/>
      <c r="G625" s="210"/>
    </row>
    <row r="626" ht="15.75" customHeight="1">
      <c r="A626" s="210"/>
      <c r="B626" s="210"/>
      <c r="C626" s="210"/>
      <c r="D626" s="210"/>
      <c r="E626" s="210"/>
      <c r="F626" s="210"/>
      <c r="G626" s="210"/>
    </row>
    <row r="627" ht="15.75" customHeight="1">
      <c r="A627" s="210"/>
      <c r="B627" s="210"/>
      <c r="C627" s="210"/>
      <c r="D627" s="210"/>
      <c r="E627" s="210"/>
      <c r="F627" s="210"/>
      <c r="G627" s="210"/>
    </row>
    <row r="628" ht="15.75" customHeight="1">
      <c r="A628" s="210"/>
      <c r="B628" s="210"/>
      <c r="C628" s="210"/>
      <c r="D628" s="210"/>
      <c r="E628" s="210"/>
      <c r="F628" s="210"/>
      <c r="G628" s="210"/>
    </row>
    <row r="629" ht="15.75" customHeight="1">
      <c r="A629" s="210"/>
      <c r="B629" s="210"/>
      <c r="C629" s="210"/>
      <c r="D629" s="210"/>
      <c r="E629" s="210"/>
      <c r="F629" s="210"/>
      <c r="G629" s="210"/>
    </row>
    <row r="630" ht="15.75" customHeight="1">
      <c r="A630" s="210"/>
      <c r="B630" s="210"/>
      <c r="C630" s="210"/>
      <c r="D630" s="210"/>
      <c r="E630" s="210"/>
      <c r="F630" s="210"/>
      <c r="G630" s="210"/>
    </row>
    <row r="631" ht="15.75" customHeight="1">
      <c r="A631" s="210"/>
      <c r="B631" s="210"/>
      <c r="C631" s="210"/>
      <c r="D631" s="210"/>
      <c r="E631" s="210"/>
      <c r="F631" s="210"/>
      <c r="G631" s="210"/>
    </row>
    <row r="632" ht="15.75" customHeight="1">
      <c r="A632" s="210"/>
      <c r="B632" s="210"/>
      <c r="C632" s="210"/>
      <c r="D632" s="210"/>
      <c r="E632" s="210"/>
      <c r="F632" s="210"/>
      <c r="G632" s="210"/>
    </row>
    <row r="633" ht="15.75" customHeight="1">
      <c r="A633" s="210"/>
      <c r="B633" s="210"/>
      <c r="C633" s="210"/>
      <c r="D633" s="210"/>
      <c r="E633" s="210"/>
      <c r="F633" s="210"/>
      <c r="G633" s="210"/>
    </row>
    <row r="634" ht="15.75" customHeight="1">
      <c r="A634" s="210"/>
      <c r="B634" s="210"/>
      <c r="C634" s="210"/>
      <c r="D634" s="210"/>
      <c r="E634" s="210"/>
      <c r="F634" s="210"/>
      <c r="G634" s="210"/>
    </row>
    <row r="635" ht="15.75" customHeight="1">
      <c r="A635" s="210"/>
      <c r="B635" s="210"/>
      <c r="C635" s="210"/>
      <c r="D635" s="210"/>
      <c r="E635" s="210"/>
      <c r="F635" s="210"/>
      <c r="G635" s="210"/>
    </row>
    <row r="636" ht="15.75" customHeight="1">
      <c r="A636" s="210"/>
      <c r="B636" s="210"/>
      <c r="C636" s="210"/>
      <c r="D636" s="210"/>
      <c r="E636" s="210"/>
      <c r="F636" s="210"/>
      <c r="G636" s="210"/>
    </row>
    <row r="637" ht="15.75" customHeight="1">
      <c r="A637" s="210"/>
      <c r="B637" s="210"/>
      <c r="C637" s="210"/>
      <c r="D637" s="210"/>
      <c r="E637" s="210"/>
      <c r="F637" s="210"/>
      <c r="G637" s="210"/>
    </row>
    <row r="638" ht="15.75" customHeight="1">
      <c r="A638" s="210"/>
      <c r="B638" s="210"/>
      <c r="C638" s="210"/>
      <c r="D638" s="210"/>
      <c r="E638" s="210"/>
      <c r="F638" s="210"/>
      <c r="G638" s="210"/>
    </row>
    <row r="639" ht="15.75" customHeight="1">
      <c r="A639" s="210"/>
      <c r="B639" s="210"/>
      <c r="C639" s="210"/>
      <c r="D639" s="210"/>
      <c r="E639" s="210"/>
      <c r="F639" s="210"/>
      <c r="G639" s="210"/>
    </row>
    <row r="640" ht="15.75" customHeight="1">
      <c r="A640" s="210"/>
      <c r="B640" s="210"/>
      <c r="C640" s="210"/>
      <c r="D640" s="210"/>
      <c r="E640" s="210"/>
      <c r="F640" s="210"/>
      <c r="G640" s="210"/>
    </row>
    <row r="641" ht="15.75" customHeight="1">
      <c r="A641" s="210"/>
      <c r="B641" s="210"/>
      <c r="C641" s="210"/>
      <c r="D641" s="210"/>
      <c r="E641" s="210"/>
      <c r="F641" s="210"/>
      <c r="G641" s="210"/>
    </row>
    <row r="642" ht="15.75" customHeight="1">
      <c r="A642" s="210"/>
      <c r="B642" s="210"/>
      <c r="C642" s="210"/>
      <c r="D642" s="210"/>
      <c r="E642" s="210"/>
      <c r="F642" s="210"/>
      <c r="G642" s="210"/>
    </row>
    <row r="643" ht="15.75" customHeight="1">
      <c r="A643" s="210"/>
      <c r="B643" s="210"/>
      <c r="C643" s="210"/>
      <c r="D643" s="210"/>
      <c r="E643" s="210"/>
      <c r="F643" s="210"/>
      <c r="G643" s="210"/>
    </row>
    <row r="644" ht="15.75" customHeight="1">
      <c r="A644" s="210"/>
      <c r="B644" s="210"/>
      <c r="C644" s="210"/>
      <c r="D644" s="210"/>
      <c r="E644" s="210"/>
      <c r="F644" s="210"/>
      <c r="G644" s="210"/>
    </row>
    <row r="645" ht="15.75" customHeight="1">
      <c r="A645" s="210"/>
      <c r="B645" s="210"/>
      <c r="C645" s="210"/>
      <c r="D645" s="210"/>
      <c r="E645" s="210"/>
      <c r="F645" s="210"/>
      <c r="G645" s="210"/>
    </row>
    <row r="646" ht="15.75" customHeight="1">
      <c r="A646" s="210"/>
      <c r="B646" s="210"/>
      <c r="C646" s="210"/>
      <c r="D646" s="210"/>
      <c r="E646" s="210"/>
      <c r="F646" s="210"/>
      <c r="G646" s="210"/>
    </row>
    <row r="647" ht="15.75" customHeight="1">
      <c r="A647" s="210"/>
      <c r="B647" s="210"/>
      <c r="C647" s="210"/>
      <c r="D647" s="210"/>
      <c r="E647" s="210"/>
      <c r="F647" s="210"/>
      <c r="G647" s="210"/>
    </row>
    <row r="648" ht="15.75" customHeight="1">
      <c r="A648" s="210"/>
      <c r="B648" s="210"/>
      <c r="C648" s="210"/>
      <c r="D648" s="210"/>
      <c r="E648" s="210"/>
      <c r="F648" s="210"/>
      <c r="G648" s="210"/>
    </row>
    <row r="649" ht="15.75" customHeight="1">
      <c r="A649" s="210"/>
      <c r="B649" s="210"/>
      <c r="C649" s="210"/>
      <c r="D649" s="210"/>
      <c r="E649" s="210"/>
      <c r="F649" s="210"/>
      <c r="G649" s="210"/>
    </row>
    <row r="650" ht="15.75" customHeight="1">
      <c r="A650" s="210"/>
      <c r="B650" s="210"/>
      <c r="C650" s="210"/>
      <c r="D650" s="210"/>
      <c r="E650" s="210"/>
      <c r="F650" s="210"/>
      <c r="G650" s="210"/>
    </row>
    <row r="651" ht="15.75" customHeight="1">
      <c r="A651" s="210"/>
      <c r="B651" s="210"/>
      <c r="C651" s="210"/>
      <c r="D651" s="210"/>
      <c r="E651" s="210"/>
      <c r="F651" s="210"/>
      <c r="G651" s="210"/>
    </row>
    <row r="652" ht="15.75" customHeight="1">
      <c r="A652" s="210"/>
      <c r="B652" s="210"/>
      <c r="C652" s="210"/>
      <c r="D652" s="210"/>
      <c r="E652" s="210"/>
      <c r="F652" s="210"/>
      <c r="G652" s="210"/>
    </row>
    <row r="653" ht="15.75" customHeight="1">
      <c r="A653" s="210"/>
      <c r="B653" s="210"/>
      <c r="C653" s="210"/>
      <c r="D653" s="210"/>
      <c r="E653" s="210"/>
      <c r="F653" s="210"/>
      <c r="G653" s="210"/>
    </row>
    <row r="654" ht="15.75" customHeight="1">
      <c r="A654" s="210"/>
      <c r="B654" s="210"/>
      <c r="C654" s="210"/>
      <c r="D654" s="210"/>
      <c r="E654" s="210"/>
      <c r="F654" s="210"/>
      <c r="G654" s="210"/>
    </row>
    <row r="655" ht="15.75" customHeight="1">
      <c r="A655" s="210"/>
      <c r="B655" s="210"/>
      <c r="C655" s="210"/>
      <c r="D655" s="210"/>
      <c r="E655" s="210"/>
      <c r="F655" s="210"/>
      <c r="G655" s="210"/>
    </row>
    <row r="656" ht="15.75" customHeight="1">
      <c r="A656" s="210"/>
      <c r="B656" s="210"/>
      <c r="C656" s="210"/>
      <c r="D656" s="210"/>
      <c r="E656" s="210"/>
      <c r="F656" s="210"/>
      <c r="G656" s="210"/>
    </row>
    <row r="657" ht="15.75" customHeight="1">
      <c r="A657" s="210"/>
      <c r="B657" s="210"/>
      <c r="C657" s="210"/>
      <c r="D657" s="210"/>
      <c r="E657" s="210"/>
      <c r="F657" s="210"/>
      <c r="G657" s="210"/>
    </row>
    <row r="658" ht="15.75" customHeight="1">
      <c r="A658" s="210"/>
      <c r="B658" s="210"/>
      <c r="C658" s="210"/>
      <c r="D658" s="210"/>
      <c r="E658" s="210"/>
      <c r="F658" s="210"/>
      <c r="G658" s="210"/>
    </row>
    <row r="659" ht="15.75" customHeight="1">
      <c r="A659" s="210"/>
      <c r="B659" s="210"/>
      <c r="C659" s="210"/>
      <c r="D659" s="210"/>
      <c r="E659" s="210"/>
      <c r="F659" s="210"/>
      <c r="G659" s="210"/>
    </row>
    <row r="660" ht="15.75" customHeight="1">
      <c r="A660" s="210"/>
      <c r="B660" s="210"/>
      <c r="C660" s="210"/>
      <c r="D660" s="210"/>
      <c r="E660" s="210"/>
      <c r="F660" s="210"/>
      <c r="G660" s="210"/>
    </row>
    <row r="661" ht="15.75" customHeight="1">
      <c r="A661" s="210"/>
      <c r="B661" s="210"/>
      <c r="C661" s="210"/>
      <c r="D661" s="210"/>
      <c r="E661" s="210"/>
      <c r="F661" s="210"/>
      <c r="G661" s="210"/>
    </row>
    <row r="662" ht="15.75" customHeight="1">
      <c r="A662" s="210"/>
      <c r="B662" s="210"/>
      <c r="C662" s="210"/>
      <c r="D662" s="210"/>
      <c r="E662" s="210"/>
      <c r="F662" s="210"/>
      <c r="G662" s="210"/>
    </row>
    <row r="663" ht="15.75" customHeight="1">
      <c r="A663" s="210"/>
      <c r="B663" s="210"/>
      <c r="C663" s="210"/>
      <c r="D663" s="210"/>
      <c r="E663" s="210"/>
      <c r="F663" s="210"/>
      <c r="G663" s="210"/>
    </row>
    <row r="664" ht="15.75" customHeight="1">
      <c r="A664" s="210"/>
      <c r="B664" s="210"/>
      <c r="C664" s="210"/>
      <c r="D664" s="210"/>
      <c r="E664" s="210"/>
      <c r="F664" s="210"/>
      <c r="G664" s="210"/>
    </row>
    <row r="665" ht="15.75" customHeight="1">
      <c r="A665" s="210"/>
      <c r="B665" s="210"/>
      <c r="C665" s="210"/>
      <c r="D665" s="210"/>
      <c r="E665" s="210"/>
      <c r="F665" s="210"/>
      <c r="G665" s="210"/>
    </row>
    <row r="666" ht="15.75" customHeight="1">
      <c r="A666" s="210"/>
      <c r="B666" s="210"/>
      <c r="C666" s="210"/>
      <c r="D666" s="210"/>
      <c r="E666" s="210"/>
      <c r="F666" s="210"/>
      <c r="G666" s="210"/>
    </row>
    <row r="667" ht="15.75" customHeight="1">
      <c r="A667" s="210"/>
      <c r="B667" s="210"/>
      <c r="C667" s="210"/>
      <c r="D667" s="210"/>
      <c r="E667" s="210"/>
      <c r="F667" s="210"/>
      <c r="G667" s="210"/>
    </row>
    <row r="668" ht="15.75" customHeight="1">
      <c r="A668" s="210"/>
      <c r="B668" s="210"/>
      <c r="C668" s="210"/>
      <c r="D668" s="210"/>
      <c r="E668" s="210"/>
      <c r="F668" s="210"/>
      <c r="G668" s="210"/>
    </row>
    <row r="669" ht="15.75" customHeight="1">
      <c r="A669" s="210"/>
      <c r="B669" s="210"/>
      <c r="C669" s="210"/>
      <c r="D669" s="210"/>
      <c r="E669" s="210"/>
      <c r="F669" s="210"/>
      <c r="G669" s="210"/>
    </row>
    <row r="670" ht="15.75" customHeight="1">
      <c r="A670" s="210"/>
      <c r="B670" s="210"/>
      <c r="C670" s="210"/>
      <c r="D670" s="210"/>
      <c r="E670" s="210"/>
      <c r="F670" s="210"/>
      <c r="G670" s="210"/>
    </row>
    <row r="671" ht="15.75" customHeight="1">
      <c r="A671" s="210"/>
      <c r="B671" s="210"/>
      <c r="C671" s="210"/>
      <c r="D671" s="210"/>
      <c r="E671" s="210"/>
      <c r="F671" s="210"/>
      <c r="G671" s="210"/>
    </row>
    <row r="672" ht="15.75" customHeight="1">
      <c r="A672" s="210"/>
      <c r="B672" s="210"/>
      <c r="C672" s="210"/>
      <c r="D672" s="210"/>
      <c r="E672" s="210"/>
      <c r="F672" s="210"/>
      <c r="G672" s="210"/>
    </row>
    <row r="673" ht="15.75" customHeight="1">
      <c r="A673" s="210"/>
      <c r="B673" s="210"/>
      <c r="C673" s="210"/>
      <c r="D673" s="210"/>
      <c r="E673" s="210"/>
      <c r="F673" s="210"/>
      <c r="G673" s="210"/>
    </row>
    <row r="674" ht="15.75" customHeight="1">
      <c r="A674" s="210"/>
      <c r="B674" s="210"/>
      <c r="C674" s="210"/>
      <c r="D674" s="210"/>
      <c r="E674" s="210"/>
      <c r="F674" s="210"/>
      <c r="G674" s="210"/>
    </row>
    <row r="675" ht="15.75" customHeight="1">
      <c r="A675" s="210"/>
      <c r="B675" s="210"/>
      <c r="C675" s="210"/>
      <c r="D675" s="210"/>
      <c r="E675" s="210"/>
      <c r="F675" s="210"/>
      <c r="G675" s="210"/>
    </row>
    <row r="676" ht="15.75" customHeight="1">
      <c r="A676" s="210"/>
      <c r="B676" s="210"/>
      <c r="C676" s="210"/>
      <c r="D676" s="210"/>
      <c r="E676" s="210"/>
      <c r="F676" s="210"/>
      <c r="G676" s="210"/>
    </row>
    <row r="677" ht="15.75" customHeight="1">
      <c r="A677" s="210"/>
      <c r="B677" s="210"/>
      <c r="C677" s="210"/>
      <c r="D677" s="210"/>
      <c r="E677" s="210"/>
      <c r="F677" s="210"/>
      <c r="G677" s="210"/>
    </row>
    <row r="678" ht="15.75" customHeight="1">
      <c r="A678" s="210"/>
      <c r="B678" s="210"/>
      <c r="C678" s="210"/>
      <c r="D678" s="210"/>
      <c r="E678" s="210"/>
      <c r="F678" s="210"/>
      <c r="G678" s="210"/>
    </row>
    <row r="679" ht="15.75" customHeight="1">
      <c r="A679" s="210"/>
      <c r="B679" s="210"/>
      <c r="C679" s="210"/>
      <c r="D679" s="210"/>
      <c r="E679" s="210"/>
      <c r="F679" s="210"/>
      <c r="G679" s="210"/>
    </row>
    <row r="680" ht="15.75" customHeight="1">
      <c r="A680" s="210"/>
      <c r="B680" s="210"/>
      <c r="C680" s="210"/>
      <c r="D680" s="210"/>
      <c r="E680" s="210"/>
      <c r="F680" s="210"/>
      <c r="G680" s="210"/>
    </row>
    <row r="681" ht="15.75" customHeight="1">
      <c r="A681" s="210"/>
      <c r="B681" s="210"/>
      <c r="C681" s="210"/>
      <c r="D681" s="210"/>
      <c r="E681" s="210"/>
      <c r="F681" s="210"/>
      <c r="G681" s="210"/>
    </row>
    <row r="682" ht="15.75" customHeight="1">
      <c r="A682" s="210"/>
      <c r="B682" s="210"/>
      <c r="C682" s="210"/>
      <c r="D682" s="210"/>
      <c r="E682" s="210"/>
      <c r="F682" s="210"/>
      <c r="G682" s="210"/>
    </row>
    <row r="683" ht="15.75" customHeight="1">
      <c r="A683" s="210"/>
      <c r="B683" s="210"/>
      <c r="C683" s="210"/>
      <c r="D683" s="210"/>
      <c r="E683" s="210"/>
      <c r="F683" s="210"/>
      <c r="G683" s="210"/>
    </row>
    <row r="684" ht="15.75" customHeight="1">
      <c r="A684" s="210"/>
      <c r="B684" s="210"/>
      <c r="C684" s="210"/>
      <c r="D684" s="210"/>
      <c r="E684" s="210"/>
      <c r="F684" s="210"/>
      <c r="G684" s="210"/>
    </row>
    <row r="685" ht="15.75" customHeight="1">
      <c r="A685" s="210"/>
      <c r="B685" s="210"/>
      <c r="C685" s="210"/>
      <c r="D685" s="210"/>
      <c r="E685" s="210"/>
      <c r="F685" s="210"/>
      <c r="G685" s="210"/>
    </row>
    <row r="686" ht="15.75" customHeight="1">
      <c r="A686" s="210"/>
      <c r="B686" s="210"/>
      <c r="C686" s="210"/>
      <c r="D686" s="210"/>
      <c r="E686" s="210"/>
      <c r="F686" s="210"/>
      <c r="G686" s="210"/>
    </row>
    <row r="687" ht="15.75" customHeight="1">
      <c r="A687" s="210"/>
      <c r="B687" s="210"/>
      <c r="C687" s="210"/>
      <c r="D687" s="210"/>
      <c r="E687" s="210"/>
      <c r="F687" s="210"/>
      <c r="G687" s="210"/>
    </row>
    <row r="688" ht="15.75" customHeight="1">
      <c r="A688" s="210"/>
      <c r="B688" s="210"/>
      <c r="C688" s="210"/>
      <c r="D688" s="210"/>
      <c r="E688" s="210"/>
      <c r="F688" s="210"/>
      <c r="G688" s="210"/>
    </row>
    <row r="689" ht="15.75" customHeight="1">
      <c r="A689" s="210"/>
      <c r="B689" s="210"/>
      <c r="C689" s="210"/>
      <c r="D689" s="210"/>
      <c r="E689" s="210"/>
      <c r="F689" s="210"/>
      <c r="G689" s="210"/>
    </row>
    <row r="690" ht="15.75" customHeight="1">
      <c r="A690" s="210"/>
      <c r="B690" s="210"/>
      <c r="C690" s="210"/>
      <c r="D690" s="210"/>
      <c r="E690" s="210"/>
      <c r="F690" s="210"/>
      <c r="G690" s="210"/>
    </row>
    <row r="691" ht="15.75" customHeight="1">
      <c r="A691" s="210"/>
      <c r="B691" s="210"/>
      <c r="C691" s="210"/>
      <c r="D691" s="210"/>
      <c r="E691" s="210"/>
      <c r="F691" s="210"/>
      <c r="G691" s="210"/>
    </row>
    <row r="692" ht="15.75" customHeight="1">
      <c r="A692" s="210"/>
      <c r="B692" s="210"/>
      <c r="C692" s="210"/>
      <c r="D692" s="210"/>
      <c r="E692" s="210"/>
      <c r="F692" s="210"/>
      <c r="G692" s="210"/>
    </row>
    <row r="693" ht="15.75" customHeight="1">
      <c r="A693" s="210"/>
      <c r="B693" s="210"/>
      <c r="C693" s="210"/>
      <c r="D693" s="210"/>
      <c r="E693" s="210"/>
      <c r="F693" s="210"/>
      <c r="G693" s="210"/>
    </row>
    <row r="694" ht="15.75" customHeight="1">
      <c r="A694" s="210"/>
      <c r="B694" s="210"/>
      <c r="C694" s="210"/>
      <c r="D694" s="210"/>
      <c r="E694" s="210"/>
      <c r="F694" s="210"/>
      <c r="G694" s="210"/>
    </row>
    <row r="695" ht="15.75" customHeight="1">
      <c r="A695" s="210"/>
      <c r="B695" s="210"/>
      <c r="C695" s="210"/>
      <c r="D695" s="210"/>
      <c r="E695" s="210"/>
      <c r="F695" s="210"/>
      <c r="G695" s="210"/>
    </row>
    <row r="696" ht="15.75" customHeight="1">
      <c r="A696" s="210"/>
      <c r="B696" s="210"/>
      <c r="C696" s="210"/>
      <c r="D696" s="210"/>
      <c r="E696" s="210"/>
      <c r="F696" s="210"/>
      <c r="G696" s="210"/>
    </row>
    <row r="697" ht="15.75" customHeight="1">
      <c r="A697" s="210"/>
      <c r="B697" s="210"/>
      <c r="C697" s="210"/>
      <c r="D697" s="210"/>
      <c r="E697" s="210"/>
      <c r="F697" s="210"/>
      <c r="G697" s="210"/>
    </row>
    <row r="698" ht="15.75" customHeight="1">
      <c r="A698" s="210"/>
      <c r="B698" s="210"/>
      <c r="C698" s="210"/>
      <c r="D698" s="210"/>
      <c r="E698" s="210"/>
      <c r="F698" s="210"/>
      <c r="G698" s="210"/>
    </row>
    <row r="699" ht="15.75" customHeight="1">
      <c r="A699" s="210"/>
      <c r="B699" s="210"/>
      <c r="C699" s="210"/>
      <c r="D699" s="210"/>
      <c r="E699" s="210"/>
      <c r="F699" s="210"/>
      <c r="G699" s="210"/>
    </row>
    <row r="700" ht="15.75" customHeight="1">
      <c r="A700" s="210"/>
      <c r="B700" s="210"/>
      <c r="C700" s="210"/>
      <c r="D700" s="210"/>
      <c r="E700" s="210"/>
      <c r="F700" s="210"/>
      <c r="G700" s="210"/>
    </row>
    <row r="701" ht="15.75" customHeight="1">
      <c r="A701" s="210"/>
      <c r="B701" s="210"/>
      <c r="C701" s="210"/>
      <c r="D701" s="210"/>
      <c r="E701" s="210"/>
      <c r="F701" s="210"/>
      <c r="G701" s="210"/>
    </row>
    <row r="702" ht="15.75" customHeight="1">
      <c r="A702" s="210"/>
      <c r="B702" s="210"/>
      <c r="C702" s="210"/>
      <c r="D702" s="210"/>
      <c r="E702" s="210"/>
      <c r="F702" s="210"/>
      <c r="G702" s="210"/>
    </row>
    <row r="703" ht="15.75" customHeight="1">
      <c r="A703" s="210"/>
      <c r="B703" s="210"/>
      <c r="C703" s="210"/>
      <c r="D703" s="210"/>
      <c r="E703" s="210"/>
      <c r="F703" s="210"/>
      <c r="G703" s="210"/>
    </row>
    <row r="704" ht="15.75" customHeight="1">
      <c r="A704" s="210"/>
      <c r="B704" s="210"/>
      <c r="C704" s="210"/>
      <c r="D704" s="210"/>
      <c r="E704" s="210"/>
      <c r="F704" s="210"/>
      <c r="G704" s="210"/>
    </row>
    <row r="705" ht="15.75" customHeight="1">
      <c r="A705" s="210"/>
      <c r="B705" s="210"/>
      <c r="C705" s="210"/>
      <c r="D705" s="210"/>
      <c r="E705" s="210"/>
      <c r="F705" s="210"/>
      <c r="G705" s="210"/>
    </row>
    <row r="706" ht="15.75" customHeight="1">
      <c r="A706" s="210"/>
      <c r="B706" s="210"/>
      <c r="C706" s="210"/>
      <c r="D706" s="210"/>
      <c r="E706" s="210"/>
      <c r="F706" s="210"/>
      <c r="G706" s="210"/>
    </row>
    <row r="707" ht="15.75" customHeight="1">
      <c r="A707" s="210"/>
      <c r="B707" s="210"/>
      <c r="C707" s="210"/>
      <c r="D707" s="210"/>
      <c r="E707" s="210"/>
      <c r="F707" s="210"/>
      <c r="G707" s="210"/>
    </row>
    <row r="708" ht="15.75" customHeight="1">
      <c r="A708" s="210"/>
      <c r="B708" s="210"/>
      <c r="C708" s="210"/>
      <c r="D708" s="210"/>
      <c r="E708" s="210"/>
      <c r="F708" s="210"/>
      <c r="G708" s="210"/>
    </row>
    <row r="709" ht="15.75" customHeight="1">
      <c r="A709" s="210"/>
      <c r="B709" s="210"/>
      <c r="C709" s="210"/>
      <c r="D709" s="210"/>
      <c r="E709" s="210"/>
      <c r="F709" s="210"/>
      <c r="G709" s="210"/>
    </row>
    <row r="710" ht="15.75" customHeight="1">
      <c r="A710" s="210"/>
      <c r="B710" s="210"/>
      <c r="C710" s="210"/>
      <c r="D710" s="210"/>
      <c r="E710" s="210"/>
      <c r="F710" s="210"/>
      <c r="G710" s="210"/>
    </row>
    <row r="711" ht="15.75" customHeight="1">
      <c r="A711" s="210"/>
      <c r="B711" s="210"/>
      <c r="C711" s="210"/>
      <c r="D711" s="210"/>
      <c r="E711" s="210"/>
      <c r="F711" s="210"/>
      <c r="G711" s="210"/>
    </row>
    <row r="712" ht="15.75" customHeight="1">
      <c r="A712" s="210"/>
      <c r="B712" s="210"/>
      <c r="C712" s="210"/>
      <c r="D712" s="210"/>
      <c r="E712" s="210"/>
      <c r="F712" s="210"/>
      <c r="G712" s="210"/>
    </row>
    <row r="713" ht="15.75" customHeight="1">
      <c r="A713" s="210"/>
      <c r="B713" s="210"/>
      <c r="C713" s="210"/>
      <c r="D713" s="210"/>
      <c r="E713" s="210"/>
      <c r="F713" s="210"/>
      <c r="G713" s="210"/>
    </row>
    <row r="714" ht="15.75" customHeight="1">
      <c r="A714" s="210"/>
      <c r="B714" s="210"/>
      <c r="C714" s="210"/>
      <c r="D714" s="210"/>
      <c r="E714" s="210"/>
      <c r="F714" s="210"/>
      <c r="G714" s="210"/>
    </row>
    <row r="715" ht="15.75" customHeight="1">
      <c r="A715" s="210"/>
      <c r="B715" s="210"/>
      <c r="C715" s="210"/>
      <c r="D715" s="210"/>
      <c r="E715" s="210"/>
      <c r="F715" s="210"/>
      <c r="G715" s="210"/>
    </row>
    <row r="716" ht="15.75" customHeight="1">
      <c r="A716" s="210"/>
      <c r="B716" s="210"/>
      <c r="C716" s="210"/>
      <c r="D716" s="210"/>
      <c r="E716" s="210"/>
      <c r="F716" s="210"/>
      <c r="G716" s="210"/>
    </row>
    <row r="717" ht="15.75" customHeight="1">
      <c r="A717" s="210"/>
      <c r="B717" s="210"/>
      <c r="C717" s="210"/>
      <c r="D717" s="210"/>
      <c r="E717" s="210"/>
      <c r="F717" s="210"/>
      <c r="G717" s="210"/>
    </row>
    <row r="718" ht="15.75" customHeight="1">
      <c r="A718" s="210"/>
      <c r="B718" s="210"/>
      <c r="C718" s="210"/>
      <c r="D718" s="210"/>
      <c r="E718" s="210"/>
      <c r="F718" s="210"/>
      <c r="G718" s="210"/>
    </row>
    <row r="719" ht="15.75" customHeight="1">
      <c r="A719" s="210"/>
      <c r="B719" s="210"/>
      <c r="C719" s="210"/>
      <c r="D719" s="210"/>
      <c r="E719" s="210"/>
      <c r="F719" s="210"/>
      <c r="G719" s="210"/>
    </row>
    <row r="720" ht="15.75" customHeight="1">
      <c r="A720" s="210"/>
      <c r="B720" s="210"/>
      <c r="C720" s="210"/>
      <c r="D720" s="210"/>
      <c r="E720" s="210"/>
      <c r="F720" s="210"/>
      <c r="G720" s="210"/>
    </row>
    <row r="721" ht="15.75" customHeight="1">
      <c r="A721" s="210"/>
      <c r="B721" s="210"/>
      <c r="C721" s="210"/>
      <c r="D721" s="210"/>
      <c r="E721" s="210"/>
      <c r="F721" s="210"/>
      <c r="G721" s="210"/>
    </row>
    <row r="722" ht="15.75" customHeight="1">
      <c r="A722" s="210"/>
      <c r="B722" s="210"/>
      <c r="C722" s="210"/>
      <c r="D722" s="210"/>
      <c r="E722" s="210"/>
      <c r="F722" s="210"/>
      <c r="G722" s="210"/>
    </row>
    <row r="723" ht="15.75" customHeight="1">
      <c r="A723" s="210"/>
      <c r="B723" s="210"/>
      <c r="C723" s="210"/>
      <c r="D723" s="210"/>
      <c r="E723" s="210"/>
      <c r="F723" s="210"/>
      <c r="G723" s="210"/>
    </row>
    <row r="724" ht="15.75" customHeight="1">
      <c r="A724" s="210"/>
      <c r="B724" s="210"/>
      <c r="C724" s="210"/>
      <c r="D724" s="210"/>
      <c r="E724" s="210"/>
      <c r="F724" s="210"/>
      <c r="G724" s="210"/>
    </row>
    <row r="725" ht="15.75" customHeight="1">
      <c r="A725" s="210"/>
      <c r="B725" s="210"/>
      <c r="C725" s="210"/>
      <c r="D725" s="210"/>
      <c r="E725" s="210"/>
      <c r="F725" s="210"/>
      <c r="G725" s="210"/>
    </row>
    <row r="726" ht="15.75" customHeight="1">
      <c r="A726" s="210"/>
      <c r="B726" s="210"/>
      <c r="C726" s="210"/>
      <c r="D726" s="210"/>
      <c r="E726" s="210"/>
      <c r="F726" s="210"/>
      <c r="G726" s="210"/>
    </row>
    <row r="727" ht="15.75" customHeight="1">
      <c r="A727" s="210"/>
      <c r="B727" s="210"/>
      <c r="C727" s="210"/>
      <c r="D727" s="210"/>
      <c r="E727" s="210"/>
      <c r="F727" s="210"/>
      <c r="G727" s="210"/>
    </row>
    <row r="728" ht="15.75" customHeight="1">
      <c r="A728" s="210"/>
      <c r="B728" s="210"/>
      <c r="C728" s="210"/>
      <c r="D728" s="210"/>
      <c r="E728" s="210"/>
      <c r="F728" s="210"/>
      <c r="G728" s="210"/>
    </row>
    <row r="729" ht="15.75" customHeight="1">
      <c r="A729" s="210"/>
      <c r="B729" s="210"/>
      <c r="C729" s="210"/>
      <c r="D729" s="210"/>
      <c r="E729" s="210"/>
      <c r="F729" s="210"/>
      <c r="G729" s="210"/>
    </row>
    <row r="730" ht="15.75" customHeight="1">
      <c r="A730" s="210"/>
      <c r="B730" s="210"/>
      <c r="C730" s="210"/>
      <c r="D730" s="210"/>
      <c r="E730" s="210"/>
      <c r="F730" s="210"/>
      <c r="G730" s="210"/>
    </row>
    <row r="731" ht="15.75" customHeight="1">
      <c r="A731" s="210"/>
      <c r="B731" s="210"/>
      <c r="C731" s="210"/>
      <c r="D731" s="210"/>
      <c r="E731" s="210"/>
      <c r="F731" s="210"/>
      <c r="G731" s="210"/>
    </row>
    <row r="732" ht="15.75" customHeight="1">
      <c r="A732" s="210"/>
      <c r="B732" s="210"/>
      <c r="C732" s="210"/>
      <c r="D732" s="210"/>
      <c r="E732" s="210"/>
      <c r="F732" s="210"/>
      <c r="G732" s="210"/>
    </row>
    <row r="733" ht="15.75" customHeight="1">
      <c r="A733" s="210"/>
      <c r="B733" s="210"/>
      <c r="C733" s="210"/>
      <c r="D733" s="210"/>
      <c r="E733" s="210"/>
      <c r="F733" s="210"/>
      <c r="G733" s="210"/>
    </row>
    <row r="734" ht="15.75" customHeight="1">
      <c r="A734" s="210"/>
      <c r="B734" s="210"/>
      <c r="C734" s="210"/>
      <c r="D734" s="210"/>
      <c r="E734" s="210"/>
      <c r="F734" s="210"/>
      <c r="G734" s="210"/>
    </row>
    <row r="735" ht="15.75" customHeight="1">
      <c r="A735" s="210"/>
      <c r="B735" s="210"/>
      <c r="C735" s="210"/>
      <c r="D735" s="210"/>
      <c r="E735" s="210"/>
      <c r="F735" s="210"/>
      <c r="G735" s="210"/>
    </row>
    <row r="736" ht="15.75" customHeight="1">
      <c r="A736" s="210"/>
      <c r="B736" s="210"/>
      <c r="C736" s="210"/>
      <c r="D736" s="210"/>
      <c r="E736" s="210"/>
      <c r="F736" s="210"/>
      <c r="G736" s="210"/>
    </row>
    <row r="737" ht="15.75" customHeight="1">
      <c r="A737" s="210"/>
      <c r="B737" s="210"/>
      <c r="C737" s="210"/>
      <c r="D737" s="210"/>
      <c r="E737" s="210"/>
      <c r="F737" s="210"/>
      <c r="G737" s="210"/>
    </row>
    <row r="738" ht="15.75" customHeight="1">
      <c r="A738" s="210"/>
      <c r="B738" s="210"/>
      <c r="C738" s="210"/>
      <c r="D738" s="210"/>
      <c r="E738" s="210"/>
      <c r="F738" s="210"/>
      <c r="G738" s="210"/>
    </row>
    <row r="739" ht="15.75" customHeight="1">
      <c r="A739" s="210"/>
      <c r="B739" s="210"/>
      <c r="C739" s="210"/>
      <c r="D739" s="210"/>
      <c r="E739" s="210"/>
      <c r="F739" s="210"/>
      <c r="G739" s="210"/>
    </row>
    <row r="740" ht="15.75" customHeight="1">
      <c r="A740" s="210"/>
      <c r="B740" s="210"/>
      <c r="C740" s="210"/>
      <c r="D740" s="210"/>
      <c r="E740" s="210"/>
      <c r="F740" s="210"/>
      <c r="G740" s="210"/>
    </row>
    <row r="741" ht="15.75" customHeight="1">
      <c r="A741" s="210"/>
      <c r="B741" s="210"/>
      <c r="C741" s="210"/>
      <c r="D741" s="210"/>
      <c r="E741" s="210"/>
      <c r="F741" s="210"/>
      <c r="G741" s="210"/>
    </row>
    <row r="742" ht="15.75" customHeight="1">
      <c r="A742" s="210"/>
      <c r="B742" s="210"/>
      <c r="C742" s="210"/>
      <c r="D742" s="210"/>
      <c r="E742" s="210"/>
      <c r="F742" s="210"/>
      <c r="G742" s="210"/>
    </row>
    <row r="743" ht="15.75" customHeight="1">
      <c r="A743" s="210"/>
      <c r="B743" s="210"/>
      <c r="C743" s="210"/>
      <c r="D743" s="210"/>
      <c r="E743" s="210"/>
      <c r="F743" s="210"/>
      <c r="G743" s="210"/>
    </row>
    <row r="744" ht="15.75" customHeight="1">
      <c r="A744" s="210"/>
      <c r="B744" s="210"/>
      <c r="C744" s="210"/>
      <c r="D744" s="210"/>
      <c r="E744" s="210"/>
      <c r="F744" s="210"/>
      <c r="G744" s="210"/>
    </row>
    <row r="745" ht="15.75" customHeight="1">
      <c r="A745" s="210"/>
      <c r="B745" s="210"/>
      <c r="C745" s="210"/>
      <c r="D745" s="210"/>
      <c r="E745" s="210"/>
      <c r="F745" s="210"/>
      <c r="G745" s="210"/>
    </row>
    <row r="746" ht="15.75" customHeight="1">
      <c r="A746" s="210"/>
      <c r="B746" s="210"/>
      <c r="C746" s="210"/>
      <c r="D746" s="210"/>
      <c r="E746" s="210"/>
      <c r="F746" s="210"/>
      <c r="G746" s="210"/>
    </row>
    <row r="747" ht="15.75" customHeight="1">
      <c r="A747" s="210"/>
      <c r="B747" s="210"/>
      <c r="C747" s="210"/>
      <c r="D747" s="210"/>
      <c r="E747" s="210"/>
      <c r="F747" s="210"/>
      <c r="G747" s="210"/>
    </row>
    <row r="748" ht="15.75" customHeight="1">
      <c r="A748" s="210"/>
      <c r="B748" s="210"/>
      <c r="C748" s="210"/>
      <c r="D748" s="210"/>
      <c r="E748" s="210"/>
      <c r="F748" s="210"/>
      <c r="G748" s="210"/>
    </row>
    <row r="749" ht="15.75" customHeight="1">
      <c r="A749" s="210"/>
      <c r="B749" s="210"/>
      <c r="C749" s="210"/>
      <c r="D749" s="210"/>
      <c r="E749" s="210"/>
      <c r="F749" s="210"/>
      <c r="G749" s="210"/>
    </row>
    <row r="750" ht="15.75" customHeight="1">
      <c r="A750" s="210"/>
      <c r="B750" s="210"/>
      <c r="C750" s="210"/>
      <c r="D750" s="210"/>
      <c r="E750" s="210"/>
      <c r="F750" s="210"/>
      <c r="G750" s="210"/>
    </row>
    <row r="751" ht="15.75" customHeight="1">
      <c r="A751" s="210"/>
      <c r="B751" s="210"/>
      <c r="C751" s="210"/>
      <c r="D751" s="210"/>
      <c r="E751" s="210"/>
      <c r="F751" s="210"/>
      <c r="G751" s="210"/>
    </row>
    <row r="752" ht="15.75" customHeight="1">
      <c r="A752" s="210"/>
      <c r="B752" s="210"/>
      <c r="C752" s="210"/>
      <c r="D752" s="210"/>
      <c r="E752" s="210"/>
      <c r="F752" s="210"/>
      <c r="G752" s="210"/>
    </row>
    <row r="753" ht="15.75" customHeight="1">
      <c r="A753" s="210"/>
      <c r="B753" s="210"/>
      <c r="C753" s="210"/>
      <c r="D753" s="210"/>
      <c r="E753" s="210"/>
      <c r="F753" s="210"/>
      <c r="G753" s="210"/>
    </row>
    <row r="754" ht="15.75" customHeight="1">
      <c r="A754" s="210"/>
      <c r="B754" s="210"/>
      <c r="C754" s="210"/>
      <c r="D754" s="210"/>
      <c r="E754" s="210"/>
      <c r="F754" s="210"/>
      <c r="G754" s="210"/>
    </row>
    <row r="755" ht="15.75" customHeight="1">
      <c r="A755" s="210"/>
      <c r="B755" s="210"/>
      <c r="C755" s="210"/>
      <c r="D755" s="210"/>
      <c r="E755" s="210"/>
      <c r="F755" s="210"/>
      <c r="G755" s="210"/>
    </row>
    <row r="756" ht="15.75" customHeight="1">
      <c r="A756" s="210"/>
      <c r="B756" s="210"/>
      <c r="C756" s="210"/>
      <c r="D756" s="210"/>
      <c r="E756" s="210"/>
      <c r="F756" s="210"/>
      <c r="G756" s="210"/>
    </row>
    <row r="757" ht="15.75" customHeight="1">
      <c r="A757" s="210"/>
      <c r="B757" s="210"/>
      <c r="C757" s="210"/>
      <c r="D757" s="210"/>
      <c r="E757" s="210"/>
      <c r="F757" s="210"/>
      <c r="G757" s="210"/>
    </row>
    <row r="758" ht="15.75" customHeight="1">
      <c r="A758" s="210"/>
      <c r="B758" s="210"/>
      <c r="C758" s="210"/>
      <c r="D758" s="210"/>
      <c r="E758" s="210"/>
      <c r="F758" s="210"/>
      <c r="G758" s="210"/>
    </row>
    <row r="759" ht="15.75" customHeight="1">
      <c r="A759" s="210"/>
      <c r="B759" s="210"/>
      <c r="C759" s="210"/>
      <c r="D759" s="210"/>
      <c r="E759" s="210"/>
      <c r="F759" s="210"/>
      <c r="G759" s="210"/>
    </row>
    <row r="760" ht="15.75" customHeight="1">
      <c r="A760" s="210"/>
      <c r="B760" s="210"/>
      <c r="C760" s="210"/>
      <c r="D760" s="210"/>
      <c r="E760" s="210"/>
      <c r="F760" s="210"/>
      <c r="G760" s="210"/>
    </row>
    <row r="761" ht="15.75" customHeight="1">
      <c r="A761" s="210"/>
      <c r="B761" s="210"/>
      <c r="C761" s="210"/>
      <c r="D761" s="210"/>
      <c r="E761" s="210"/>
      <c r="F761" s="210"/>
      <c r="G761" s="210"/>
    </row>
    <row r="762" ht="15.75" customHeight="1">
      <c r="A762" s="210"/>
      <c r="B762" s="210"/>
      <c r="C762" s="210"/>
      <c r="D762" s="210"/>
      <c r="E762" s="210"/>
      <c r="F762" s="210"/>
      <c r="G762" s="210"/>
    </row>
    <row r="763" ht="15.75" customHeight="1">
      <c r="A763" s="210"/>
      <c r="B763" s="210"/>
      <c r="C763" s="210"/>
      <c r="D763" s="210"/>
      <c r="E763" s="210"/>
      <c r="F763" s="210"/>
      <c r="G763" s="210"/>
    </row>
    <row r="764" ht="15.75" customHeight="1">
      <c r="A764" s="210"/>
      <c r="B764" s="210"/>
      <c r="C764" s="210"/>
      <c r="D764" s="210"/>
      <c r="E764" s="210"/>
      <c r="F764" s="210"/>
      <c r="G764" s="210"/>
    </row>
    <row r="765" ht="15.75" customHeight="1">
      <c r="A765" s="210"/>
      <c r="B765" s="210"/>
      <c r="C765" s="210"/>
      <c r="D765" s="210"/>
      <c r="E765" s="210"/>
      <c r="F765" s="210"/>
      <c r="G765" s="210"/>
    </row>
    <row r="766" ht="15.75" customHeight="1">
      <c r="A766" s="210"/>
      <c r="B766" s="210"/>
      <c r="C766" s="210"/>
      <c r="D766" s="210"/>
      <c r="E766" s="210"/>
      <c r="F766" s="210"/>
      <c r="G766" s="210"/>
    </row>
    <row r="767" ht="15.75" customHeight="1">
      <c r="A767" s="210"/>
      <c r="B767" s="210"/>
      <c r="C767" s="210"/>
      <c r="D767" s="210"/>
      <c r="E767" s="210"/>
      <c r="F767" s="210"/>
      <c r="G767" s="210"/>
    </row>
    <row r="768" ht="15.75" customHeight="1">
      <c r="A768" s="210"/>
      <c r="B768" s="210"/>
      <c r="C768" s="210"/>
      <c r="D768" s="210"/>
      <c r="E768" s="210"/>
      <c r="F768" s="210"/>
      <c r="G768" s="210"/>
    </row>
    <row r="769" ht="15.75" customHeight="1">
      <c r="A769" s="210"/>
      <c r="B769" s="210"/>
      <c r="C769" s="210"/>
      <c r="D769" s="210"/>
      <c r="E769" s="210"/>
      <c r="F769" s="210"/>
      <c r="G769" s="210"/>
    </row>
    <row r="770" ht="15.75" customHeight="1">
      <c r="A770" s="210"/>
      <c r="B770" s="210"/>
      <c r="C770" s="210"/>
      <c r="D770" s="210"/>
      <c r="E770" s="210"/>
      <c r="F770" s="210"/>
      <c r="G770" s="210"/>
    </row>
    <row r="771" ht="15.75" customHeight="1">
      <c r="A771" s="210"/>
      <c r="B771" s="210"/>
      <c r="C771" s="210"/>
      <c r="D771" s="210"/>
      <c r="E771" s="210"/>
      <c r="F771" s="210"/>
      <c r="G771" s="210"/>
    </row>
    <row r="772" ht="15.75" customHeight="1">
      <c r="A772" s="210"/>
      <c r="B772" s="210"/>
      <c r="C772" s="210"/>
      <c r="D772" s="210"/>
      <c r="E772" s="210"/>
      <c r="F772" s="210"/>
      <c r="G772" s="210"/>
    </row>
    <row r="773" ht="15.75" customHeight="1">
      <c r="A773" s="210"/>
      <c r="B773" s="210"/>
      <c r="C773" s="210"/>
      <c r="D773" s="210"/>
      <c r="E773" s="210"/>
      <c r="F773" s="210"/>
      <c r="G773" s="210"/>
    </row>
    <row r="774" ht="15.75" customHeight="1">
      <c r="A774" s="210"/>
      <c r="B774" s="210"/>
      <c r="C774" s="210"/>
      <c r="D774" s="210"/>
      <c r="E774" s="210"/>
      <c r="F774" s="210"/>
      <c r="G774" s="210"/>
    </row>
    <row r="775" ht="15.75" customHeight="1">
      <c r="A775" s="210"/>
      <c r="B775" s="210"/>
      <c r="C775" s="210"/>
      <c r="D775" s="210"/>
      <c r="E775" s="210"/>
      <c r="F775" s="210"/>
      <c r="G775" s="210"/>
    </row>
    <row r="776" ht="15.75" customHeight="1">
      <c r="A776" s="210"/>
      <c r="B776" s="210"/>
      <c r="C776" s="210"/>
      <c r="D776" s="210"/>
      <c r="E776" s="210"/>
      <c r="F776" s="210"/>
      <c r="G776" s="210"/>
    </row>
    <row r="777" ht="15.75" customHeight="1">
      <c r="A777" s="210"/>
      <c r="B777" s="210"/>
      <c r="C777" s="210"/>
      <c r="D777" s="210"/>
      <c r="E777" s="210"/>
      <c r="F777" s="210"/>
      <c r="G777" s="210"/>
    </row>
    <row r="778" ht="15.75" customHeight="1">
      <c r="A778" s="210"/>
      <c r="B778" s="210"/>
      <c r="C778" s="210"/>
      <c r="D778" s="210"/>
      <c r="E778" s="210"/>
      <c r="F778" s="210"/>
      <c r="G778" s="210"/>
    </row>
    <row r="779" ht="15.75" customHeight="1">
      <c r="A779" s="210"/>
      <c r="B779" s="210"/>
      <c r="C779" s="210"/>
      <c r="D779" s="210"/>
      <c r="E779" s="210"/>
      <c r="F779" s="210"/>
      <c r="G779" s="210"/>
    </row>
    <row r="780" ht="15.75" customHeight="1">
      <c r="A780" s="210"/>
      <c r="B780" s="210"/>
      <c r="C780" s="210"/>
      <c r="D780" s="210"/>
      <c r="E780" s="210"/>
      <c r="F780" s="210"/>
      <c r="G780" s="210"/>
    </row>
    <row r="781" ht="15.75" customHeight="1">
      <c r="A781" s="210"/>
      <c r="B781" s="210"/>
      <c r="C781" s="210"/>
      <c r="D781" s="210"/>
      <c r="E781" s="210"/>
      <c r="F781" s="210"/>
      <c r="G781" s="210"/>
    </row>
    <row r="782" ht="15.75" customHeight="1">
      <c r="A782" s="210"/>
      <c r="B782" s="210"/>
      <c r="C782" s="210"/>
      <c r="D782" s="210"/>
      <c r="E782" s="210"/>
      <c r="F782" s="210"/>
      <c r="G782" s="210"/>
    </row>
    <row r="783" ht="15.75" customHeight="1">
      <c r="A783" s="210"/>
      <c r="B783" s="210"/>
      <c r="C783" s="210"/>
      <c r="D783" s="210"/>
      <c r="E783" s="210"/>
      <c r="F783" s="210"/>
      <c r="G783" s="210"/>
    </row>
    <row r="784" ht="15.75" customHeight="1">
      <c r="A784" s="210"/>
      <c r="B784" s="210"/>
      <c r="C784" s="210"/>
      <c r="D784" s="210"/>
      <c r="E784" s="210"/>
      <c r="F784" s="210"/>
      <c r="G784" s="210"/>
    </row>
    <row r="785" ht="15.75" customHeight="1">
      <c r="A785" s="210"/>
      <c r="B785" s="210"/>
      <c r="C785" s="210"/>
      <c r="D785" s="210"/>
      <c r="E785" s="210"/>
      <c r="F785" s="210"/>
      <c r="G785" s="210"/>
    </row>
    <row r="786" ht="15.75" customHeight="1">
      <c r="A786" s="210"/>
      <c r="B786" s="210"/>
      <c r="C786" s="210"/>
      <c r="D786" s="210"/>
      <c r="E786" s="210"/>
      <c r="F786" s="210"/>
      <c r="G786" s="210"/>
    </row>
    <row r="787" ht="15.75" customHeight="1">
      <c r="A787" s="210"/>
      <c r="B787" s="210"/>
      <c r="C787" s="210"/>
      <c r="D787" s="210"/>
      <c r="E787" s="210"/>
      <c r="F787" s="210"/>
      <c r="G787" s="210"/>
    </row>
    <row r="788" ht="15.75" customHeight="1">
      <c r="A788" s="210"/>
      <c r="B788" s="210"/>
      <c r="C788" s="210"/>
      <c r="D788" s="210"/>
      <c r="E788" s="210"/>
      <c r="F788" s="210"/>
      <c r="G788" s="210"/>
    </row>
    <row r="789" ht="15.75" customHeight="1">
      <c r="A789" s="210"/>
      <c r="B789" s="210"/>
      <c r="C789" s="210"/>
      <c r="D789" s="210"/>
      <c r="E789" s="210"/>
      <c r="F789" s="210"/>
      <c r="G789" s="210"/>
    </row>
    <row r="790" ht="15.75" customHeight="1">
      <c r="A790" s="210"/>
      <c r="B790" s="210"/>
      <c r="C790" s="210"/>
      <c r="D790" s="210"/>
      <c r="E790" s="210"/>
      <c r="F790" s="210"/>
      <c r="G790" s="210"/>
    </row>
    <row r="791" ht="15.75" customHeight="1">
      <c r="A791" s="210"/>
      <c r="B791" s="210"/>
      <c r="C791" s="210"/>
      <c r="D791" s="210"/>
      <c r="E791" s="210"/>
      <c r="F791" s="210"/>
      <c r="G791" s="210"/>
    </row>
    <row r="792" ht="15.75" customHeight="1">
      <c r="A792" s="210"/>
      <c r="B792" s="210"/>
      <c r="C792" s="210"/>
      <c r="D792" s="210"/>
      <c r="E792" s="210"/>
      <c r="F792" s="210"/>
      <c r="G792" s="210"/>
    </row>
    <row r="793" ht="15.75" customHeight="1">
      <c r="A793" s="210"/>
      <c r="B793" s="210"/>
      <c r="C793" s="210"/>
      <c r="D793" s="210"/>
      <c r="E793" s="210"/>
      <c r="F793" s="210"/>
      <c r="G793" s="210"/>
    </row>
    <row r="794" ht="15.75" customHeight="1">
      <c r="A794" s="210"/>
      <c r="B794" s="210"/>
      <c r="C794" s="210"/>
      <c r="D794" s="210"/>
      <c r="E794" s="210"/>
      <c r="F794" s="210"/>
      <c r="G794" s="210"/>
    </row>
    <row r="795" ht="15.75" customHeight="1">
      <c r="A795" s="210"/>
      <c r="B795" s="210"/>
      <c r="C795" s="210"/>
      <c r="D795" s="210"/>
      <c r="E795" s="210"/>
      <c r="F795" s="210"/>
      <c r="G795" s="210"/>
    </row>
    <row r="796" ht="15.75" customHeight="1">
      <c r="A796" s="210"/>
      <c r="B796" s="210"/>
      <c r="C796" s="210"/>
      <c r="D796" s="210"/>
      <c r="E796" s="210"/>
      <c r="F796" s="210"/>
      <c r="G796" s="210"/>
    </row>
    <row r="797" ht="15.75" customHeight="1">
      <c r="A797" s="210"/>
      <c r="B797" s="210"/>
      <c r="C797" s="210"/>
      <c r="D797" s="210"/>
      <c r="E797" s="210"/>
      <c r="F797" s="210"/>
      <c r="G797" s="210"/>
    </row>
    <row r="798" ht="15.75" customHeight="1">
      <c r="A798" s="210"/>
      <c r="B798" s="210"/>
      <c r="C798" s="210"/>
      <c r="D798" s="210"/>
      <c r="E798" s="210"/>
      <c r="F798" s="210"/>
      <c r="G798" s="210"/>
    </row>
    <row r="799" ht="15.75" customHeight="1">
      <c r="A799" s="210"/>
      <c r="B799" s="210"/>
      <c r="C799" s="210"/>
      <c r="D799" s="210"/>
      <c r="E799" s="210"/>
      <c r="F799" s="210"/>
      <c r="G799" s="210"/>
    </row>
    <row r="800" ht="15.75" customHeight="1">
      <c r="A800" s="210"/>
      <c r="B800" s="210"/>
      <c r="C800" s="210"/>
      <c r="D800" s="210"/>
      <c r="E800" s="210"/>
      <c r="F800" s="210"/>
      <c r="G800" s="210"/>
    </row>
    <row r="801" ht="15.75" customHeight="1">
      <c r="A801" s="210"/>
      <c r="B801" s="210"/>
      <c r="C801" s="210"/>
      <c r="D801" s="210"/>
      <c r="E801" s="210"/>
      <c r="F801" s="210"/>
      <c r="G801" s="210"/>
    </row>
    <row r="802" ht="15.75" customHeight="1">
      <c r="A802" s="210"/>
      <c r="B802" s="210"/>
      <c r="C802" s="210"/>
      <c r="D802" s="210"/>
      <c r="E802" s="210"/>
      <c r="F802" s="210"/>
      <c r="G802" s="210"/>
    </row>
    <row r="803" ht="15.75" customHeight="1">
      <c r="A803" s="210"/>
      <c r="B803" s="210"/>
      <c r="C803" s="210"/>
      <c r="D803" s="210"/>
      <c r="E803" s="210"/>
      <c r="F803" s="210"/>
      <c r="G803" s="210"/>
    </row>
    <row r="804" ht="15.75" customHeight="1">
      <c r="A804" s="210"/>
      <c r="B804" s="210"/>
      <c r="C804" s="210"/>
      <c r="D804" s="210"/>
      <c r="E804" s="210"/>
      <c r="F804" s="210"/>
      <c r="G804" s="210"/>
    </row>
    <row r="805" ht="15.75" customHeight="1">
      <c r="A805" s="210"/>
      <c r="B805" s="210"/>
      <c r="C805" s="210"/>
      <c r="D805" s="210"/>
      <c r="E805" s="210"/>
      <c r="F805" s="210"/>
      <c r="G805" s="210"/>
    </row>
    <row r="806" ht="15.75" customHeight="1">
      <c r="A806" s="210"/>
      <c r="B806" s="210"/>
      <c r="C806" s="210"/>
      <c r="D806" s="210"/>
      <c r="E806" s="210"/>
      <c r="F806" s="210"/>
      <c r="G806" s="210"/>
    </row>
    <row r="807" ht="15.75" customHeight="1">
      <c r="A807" s="210"/>
      <c r="B807" s="210"/>
      <c r="C807" s="210"/>
      <c r="D807" s="210"/>
      <c r="E807" s="210"/>
      <c r="F807" s="210"/>
      <c r="G807" s="210"/>
    </row>
    <row r="808" ht="15.75" customHeight="1">
      <c r="A808" s="210"/>
      <c r="B808" s="210"/>
      <c r="C808" s="210"/>
      <c r="D808" s="210"/>
      <c r="E808" s="210"/>
      <c r="F808" s="210"/>
      <c r="G808" s="210"/>
    </row>
    <row r="809" ht="15.75" customHeight="1">
      <c r="A809" s="210"/>
      <c r="B809" s="210"/>
      <c r="C809" s="210"/>
      <c r="D809" s="210"/>
      <c r="E809" s="210"/>
      <c r="F809" s="210"/>
      <c r="G809" s="210"/>
    </row>
    <row r="810" ht="15.75" customHeight="1">
      <c r="A810" s="210"/>
      <c r="B810" s="210"/>
      <c r="C810" s="210"/>
      <c r="D810" s="210"/>
      <c r="E810" s="210"/>
      <c r="F810" s="210"/>
      <c r="G810" s="210"/>
    </row>
    <row r="811" ht="15.75" customHeight="1">
      <c r="A811" s="210"/>
      <c r="B811" s="210"/>
      <c r="C811" s="210"/>
      <c r="D811" s="210"/>
      <c r="E811" s="210"/>
      <c r="F811" s="210"/>
      <c r="G811" s="210"/>
    </row>
    <row r="812" ht="15.75" customHeight="1">
      <c r="A812" s="210"/>
      <c r="B812" s="210"/>
      <c r="C812" s="210"/>
      <c r="D812" s="210"/>
      <c r="E812" s="210"/>
      <c r="F812" s="210"/>
      <c r="G812" s="210"/>
    </row>
    <row r="813" ht="15.75" customHeight="1">
      <c r="A813" s="210"/>
      <c r="B813" s="210"/>
      <c r="C813" s="210"/>
      <c r="D813" s="210"/>
      <c r="E813" s="210"/>
      <c r="F813" s="210"/>
      <c r="G813" s="210"/>
    </row>
    <row r="814" ht="15.75" customHeight="1">
      <c r="A814" s="210"/>
      <c r="B814" s="210"/>
      <c r="C814" s="210"/>
      <c r="D814" s="210"/>
      <c r="E814" s="210"/>
      <c r="F814" s="210"/>
      <c r="G814" s="210"/>
    </row>
    <row r="815" ht="15.75" customHeight="1">
      <c r="A815" s="210"/>
      <c r="B815" s="210"/>
      <c r="C815" s="210"/>
      <c r="D815" s="210"/>
      <c r="E815" s="210"/>
      <c r="F815" s="210"/>
      <c r="G815" s="210"/>
    </row>
    <row r="816" ht="15.75" customHeight="1">
      <c r="A816" s="210"/>
      <c r="B816" s="210"/>
      <c r="C816" s="210"/>
      <c r="D816" s="210"/>
      <c r="E816" s="210"/>
      <c r="F816" s="210"/>
      <c r="G816" s="210"/>
    </row>
    <row r="817" ht="15.75" customHeight="1">
      <c r="A817" s="210"/>
      <c r="B817" s="210"/>
      <c r="C817" s="210"/>
      <c r="D817" s="210"/>
      <c r="E817" s="210"/>
      <c r="F817" s="210"/>
      <c r="G817" s="210"/>
    </row>
    <row r="818" ht="15.75" customHeight="1">
      <c r="A818" s="210"/>
      <c r="B818" s="210"/>
      <c r="C818" s="210"/>
      <c r="D818" s="210"/>
      <c r="E818" s="210"/>
      <c r="F818" s="210"/>
      <c r="G818" s="210"/>
    </row>
    <row r="819" ht="15.75" customHeight="1">
      <c r="A819" s="210"/>
      <c r="B819" s="210"/>
      <c r="C819" s="210"/>
      <c r="D819" s="210"/>
      <c r="E819" s="210"/>
      <c r="F819" s="210"/>
      <c r="G819" s="210"/>
    </row>
    <row r="820" ht="15.75" customHeight="1">
      <c r="A820" s="210"/>
      <c r="B820" s="210"/>
      <c r="C820" s="210"/>
      <c r="D820" s="210"/>
      <c r="E820" s="210"/>
      <c r="F820" s="210"/>
      <c r="G820" s="210"/>
    </row>
    <row r="821" ht="15.75" customHeight="1">
      <c r="A821" s="210"/>
      <c r="B821" s="210"/>
      <c r="C821" s="210"/>
      <c r="D821" s="210"/>
      <c r="E821" s="210"/>
      <c r="F821" s="210"/>
      <c r="G821" s="210"/>
    </row>
    <row r="822" ht="15.75" customHeight="1">
      <c r="A822" s="210"/>
      <c r="B822" s="210"/>
      <c r="C822" s="210"/>
      <c r="D822" s="210"/>
      <c r="E822" s="210"/>
      <c r="F822" s="210"/>
      <c r="G822" s="210"/>
    </row>
    <row r="823" ht="15.75" customHeight="1">
      <c r="A823" s="210"/>
      <c r="B823" s="210"/>
      <c r="C823" s="210"/>
      <c r="D823" s="210"/>
      <c r="E823" s="210"/>
      <c r="F823" s="210"/>
      <c r="G823" s="210"/>
    </row>
    <row r="824" ht="15.75" customHeight="1">
      <c r="A824" s="210"/>
      <c r="B824" s="210"/>
      <c r="C824" s="210"/>
      <c r="D824" s="210"/>
      <c r="E824" s="210"/>
      <c r="F824" s="210"/>
      <c r="G824" s="210"/>
    </row>
    <row r="825" ht="15.75" customHeight="1">
      <c r="A825" s="210"/>
      <c r="B825" s="210"/>
      <c r="C825" s="210"/>
      <c r="D825" s="210"/>
      <c r="E825" s="210"/>
      <c r="F825" s="210"/>
      <c r="G825" s="210"/>
    </row>
    <row r="826" ht="15.75" customHeight="1">
      <c r="A826" s="210"/>
      <c r="B826" s="210"/>
      <c r="C826" s="210"/>
      <c r="D826" s="210"/>
      <c r="E826" s="210"/>
      <c r="F826" s="210"/>
      <c r="G826" s="210"/>
    </row>
    <row r="827" ht="15.75" customHeight="1">
      <c r="A827" s="210"/>
      <c r="B827" s="210"/>
      <c r="C827" s="210"/>
      <c r="D827" s="210"/>
      <c r="E827" s="210"/>
      <c r="F827" s="210"/>
      <c r="G827" s="210"/>
    </row>
    <row r="828" ht="15.75" customHeight="1">
      <c r="A828" s="210"/>
      <c r="B828" s="210"/>
      <c r="C828" s="210"/>
      <c r="D828" s="210"/>
      <c r="E828" s="210"/>
      <c r="F828" s="210"/>
      <c r="G828" s="210"/>
    </row>
    <row r="829" ht="15.75" customHeight="1">
      <c r="A829" s="210"/>
      <c r="B829" s="210"/>
      <c r="C829" s="210"/>
      <c r="D829" s="210"/>
      <c r="E829" s="210"/>
      <c r="F829" s="210"/>
      <c r="G829" s="210"/>
    </row>
    <row r="830" ht="15.75" customHeight="1">
      <c r="A830" s="210"/>
      <c r="B830" s="210"/>
      <c r="C830" s="210"/>
      <c r="D830" s="210"/>
      <c r="E830" s="210"/>
      <c r="F830" s="210"/>
      <c r="G830" s="210"/>
    </row>
    <row r="831" ht="15.75" customHeight="1">
      <c r="A831" s="210"/>
      <c r="B831" s="210"/>
      <c r="C831" s="210"/>
      <c r="D831" s="210"/>
      <c r="E831" s="210"/>
      <c r="F831" s="210"/>
      <c r="G831" s="210"/>
    </row>
    <row r="832" ht="15.75" customHeight="1">
      <c r="A832" s="210"/>
      <c r="B832" s="210"/>
      <c r="C832" s="210"/>
      <c r="D832" s="210"/>
      <c r="E832" s="210"/>
      <c r="F832" s="210"/>
      <c r="G832" s="210"/>
    </row>
    <row r="833" ht="15.75" customHeight="1">
      <c r="A833" s="210"/>
      <c r="B833" s="210"/>
      <c r="C833" s="210"/>
      <c r="D833" s="210"/>
      <c r="E833" s="210"/>
      <c r="F833" s="210"/>
      <c r="G833" s="210"/>
    </row>
    <row r="834" ht="15.75" customHeight="1">
      <c r="A834" s="210"/>
      <c r="B834" s="210"/>
      <c r="C834" s="210"/>
      <c r="D834" s="210"/>
      <c r="E834" s="210"/>
      <c r="F834" s="210"/>
      <c r="G834" s="210"/>
    </row>
    <row r="835" ht="15.75" customHeight="1">
      <c r="A835" s="210"/>
      <c r="B835" s="210"/>
      <c r="C835" s="210"/>
      <c r="D835" s="210"/>
      <c r="E835" s="210"/>
      <c r="F835" s="210"/>
      <c r="G835" s="210"/>
    </row>
    <row r="836" ht="15.75" customHeight="1">
      <c r="A836" s="210"/>
      <c r="B836" s="210"/>
      <c r="C836" s="210"/>
      <c r="D836" s="210"/>
      <c r="E836" s="210"/>
      <c r="F836" s="210"/>
      <c r="G836" s="210"/>
    </row>
    <row r="837" ht="15.75" customHeight="1">
      <c r="A837" s="210"/>
      <c r="B837" s="210"/>
      <c r="C837" s="210"/>
      <c r="D837" s="210"/>
      <c r="E837" s="210"/>
      <c r="F837" s="210"/>
      <c r="G837" s="210"/>
    </row>
    <row r="838" ht="15.75" customHeight="1">
      <c r="A838" s="210"/>
      <c r="B838" s="210"/>
      <c r="C838" s="210"/>
      <c r="D838" s="210"/>
      <c r="E838" s="210"/>
      <c r="F838" s="210"/>
      <c r="G838" s="210"/>
    </row>
    <row r="839" ht="15.75" customHeight="1">
      <c r="A839" s="210"/>
      <c r="B839" s="210"/>
      <c r="C839" s="210"/>
      <c r="D839" s="210"/>
      <c r="E839" s="210"/>
      <c r="F839" s="210"/>
      <c r="G839" s="210"/>
    </row>
    <row r="840" ht="15.75" customHeight="1">
      <c r="A840" s="210"/>
      <c r="B840" s="210"/>
      <c r="C840" s="210"/>
      <c r="D840" s="210"/>
      <c r="E840" s="210"/>
      <c r="F840" s="210"/>
      <c r="G840" s="210"/>
    </row>
    <row r="841" ht="15.75" customHeight="1">
      <c r="A841" s="210"/>
      <c r="B841" s="210"/>
      <c r="C841" s="210"/>
      <c r="D841" s="210"/>
      <c r="E841" s="210"/>
      <c r="F841" s="210"/>
      <c r="G841" s="210"/>
    </row>
    <row r="842" ht="15.75" customHeight="1">
      <c r="A842" s="210"/>
      <c r="B842" s="210"/>
      <c r="C842" s="210"/>
      <c r="D842" s="210"/>
      <c r="E842" s="210"/>
      <c r="F842" s="210"/>
      <c r="G842" s="210"/>
    </row>
    <row r="843" ht="15.75" customHeight="1">
      <c r="A843" s="210"/>
      <c r="B843" s="210"/>
      <c r="C843" s="210"/>
      <c r="D843" s="210"/>
      <c r="E843" s="210"/>
      <c r="F843" s="210"/>
      <c r="G843" s="210"/>
    </row>
    <row r="844" ht="15.75" customHeight="1">
      <c r="A844" s="210"/>
      <c r="B844" s="210"/>
      <c r="C844" s="210"/>
      <c r="D844" s="210"/>
      <c r="E844" s="210"/>
      <c r="F844" s="210"/>
      <c r="G844" s="210"/>
    </row>
    <row r="845" ht="15.75" customHeight="1">
      <c r="A845" s="210"/>
      <c r="B845" s="210"/>
      <c r="C845" s="210"/>
      <c r="D845" s="210"/>
      <c r="E845" s="210"/>
      <c r="F845" s="210"/>
      <c r="G845" s="210"/>
    </row>
    <row r="846" ht="15.75" customHeight="1">
      <c r="A846" s="210"/>
      <c r="B846" s="210"/>
      <c r="C846" s="210"/>
      <c r="D846" s="210"/>
      <c r="E846" s="210"/>
      <c r="F846" s="210"/>
      <c r="G846" s="210"/>
    </row>
    <row r="847" ht="15.75" customHeight="1">
      <c r="A847" s="210"/>
      <c r="B847" s="210"/>
      <c r="C847" s="210"/>
      <c r="D847" s="210"/>
      <c r="E847" s="210"/>
      <c r="F847" s="210"/>
      <c r="G847" s="210"/>
    </row>
    <row r="848" ht="15.75" customHeight="1">
      <c r="A848" s="210"/>
      <c r="B848" s="210"/>
      <c r="C848" s="210"/>
      <c r="D848" s="210"/>
      <c r="E848" s="210"/>
      <c r="F848" s="210"/>
      <c r="G848" s="210"/>
    </row>
    <row r="849" ht="15.75" customHeight="1">
      <c r="A849" s="210"/>
      <c r="B849" s="210"/>
      <c r="C849" s="210"/>
      <c r="D849" s="210"/>
      <c r="E849" s="210"/>
      <c r="F849" s="210"/>
      <c r="G849" s="210"/>
    </row>
    <row r="850" ht="15.75" customHeight="1">
      <c r="A850" s="210"/>
      <c r="B850" s="210"/>
      <c r="C850" s="210"/>
      <c r="D850" s="210"/>
      <c r="E850" s="210"/>
      <c r="F850" s="210"/>
      <c r="G850" s="210"/>
    </row>
    <row r="851" ht="15.75" customHeight="1">
      <c r="A851" s="210"/>
      <c r="B851" s="210"/>
      <c r="C851" s="210"/>
      <c r="D851" s="210"/>
      <c r="E851" s="210"/>
      <c r="F851" s="210"/>
      <c r="G851" s="210"/>
    </row>
    <row r="852" ht="15.75" customHeight="1">
      <c r="A852" s="210"/>
      <c r="B852" s="210"/>
      <c r="C852" s="210"/>
      <c r="D852" s="210"/>
      <c r="E852" s="210"/>
      <c r="F852" s="210"/>
      <c r="G852" s="210"/>
    </row>
    <row r="853" ht="15.75" customHeight="1">
      <c r="A853" s="210"/>
      <c r="B853" s="210"/>
      <c r="C853" s="210"/>
      <c r="D853" s="210"/>
      <c r="E853" s="210"/>
      <c r="F853" s="210"/>
      <c r="G853" s="210"/>
    </row>
    <row r="854" ht="15.75" customHeight="1">
      <c r="A854" s="210"/>
      <c r="B854" s="210"/>
      <c r="C854" s="210"/>
      <c r="D854" s="210"/>
      <c r="E854" s="210"/>
      <c r="F854" s="210"/>
      <c r="G854" s="210"/>
    </row>
    <row r="855" ht="15.75" customHeight="1">
      <c r="A855" s="210"/>
      <c r="B855" s="210"/>
      <c r="C855" s="210"/>
      <c r="D855" s="210"/>
      <c r="E855" s="210"/>
      <c r="F855" s="210"/>
      <c r="G855" s="210"/>
    </row>
    <row r="856" ht="15.75" customHeight="1">
      <c r="A856" s="210"/>
      <c r="B856" s="210"/>
      <c r="C856" s="210"/>
      <c r="D856" s="210"/>
      <c r="E856" s="210"/>
      <c r="F856" s="210"/>
      <c r="G856" s="210"/>
    </row>
    <row r="857" ht="15.75" customHeight="1">
      <c r="A857" s="210"/>
      <c r="B857" s="210"/>
      <c r="C857" s="210"/>
      <c r="D857" s="210"/>
      <c r="E857" s="210"/>
      <c r="F857" s="210"/>
      <c r="G857" s="210"/>
    </row>
    <row r="858" ht="15.75" customHeight="1">
      <c r="A858" s="210"/>
      <c r="B858" s="210"/>
      <c r="C858" s="210"/>
      <c r="D858" s="210"/>
      <c r="E858" s="210"/>
      <c r="F858" s="210"/>
      <c r="G858" s="210"/>
    </row>
    <row r="859" ht="15.75" customHeight="1">
      <c r="A859" s="210"/>
      <c r="B859" s="210"/>
      <c r="C859" s="210"/>
      <c r="D859" s="210"/>
      <c r="E859" s="210"/>
      <c r="F859" s="210"/>
      <c r="G859" s="210"/>
    </row>
    <row r="860" ht="15.75" customHeight="1">
      <c r="A860" s="210"/>
      <c r="B860" s="210"/>
      <c r="C860" s="210"/>
      <c r="D860" s="210"/>
      <c r="E860" s="210"/>
      <c r="F860" s="210"/>
      <c r="G860" s="210"/>
    </row>
    <row r="861" ht="15.75" customHeight="1">
      <c r="A861" s="210"/>
      <c r="B861" s="210"/>
      <c r="C861" s="210"/>
      <c r="D861" s="210"/>
      <c r="E861" s="210"/>
      <c r="F861" s="210"/>
      <c r="G861" s="210"/>
    </row>
    <row r="862" ht="15.75" customHeight="1">
      <c r="A862" s="210"/>
      <c r="B862" s="210"/>
      <c r="C862" s="210"/>
      <c r="D862" s="210"/>
      <c r="E862" s="210"/>
      <c r="F862" s="210"/>
      <c r="G862" s="210"/>
    </row>
    <row r="863" ht="15.75" customHeight="1">
      <c r="A863" s="210"/>
      <c r="B863" s="210"/>
      <c r="C863" s="210"/>
      <c r="D863" s="210"/>
      <c r="E863" s="210"/>
      <c r="F863" s="210"/>
      <c r="G863" s="210"/>
    </row>
    <row r="864" ht="15.75" customHeight="1">
      <c r="A864" s="210"/>
      <c r="B864" s="210"/>
      <c r="C864" s="210"/>
      <c r="D864" s="210"/>
      <c r="E864" s="210"/>
      <c r="F864" s="210"/>
      <c r="G864" s="210"/>
    </row>
    <row r="865" ht="15.75" customHeight="1">
      <c r="A865" s="210"/>
      <c r="B865" s="210"/>
      <c r="C865" s="210"/>
      <c r="D865" s="210"/>
      <c r="E865" s="210"/>
      <c r="F865" s="210"/>
      <c r="G865" s="210"/>
    </row>
    <row r="866" ht="15.75" customHeight="1">
      <c r="A866" s="210"/>
      <c r="B866" s="210"/>
      <c r="C866" s="210"/>
      <c r="D866" s="210"/>
      <c r="E866" s="210"/>
      <c r="F866" s="210"/>
      <c r="G866" s="210"/>
    </row>
    <row r="867" ht="15.75" customHeight="1">
      <c r="A867" s="210"/>
      <c r="B867" s="210"/>
      <c r="C867" s="210"/>
      <c r="D867" s="210"/>
      <c r="E867" s="210"/>
      <c r="F867" s="210"/>
      <c r="G867" s="210"/>
    </row>
    <row r="868" ht="15.75" customHeight="1">
      <c r="A868" s="210"/>
      <c r="B868" s="210"/>
      <c r="C868" s="210"/>
      <c r="D868" s="210"/>
      <c r="E868" s="210"/>
      <c r="F868" s="210"/>
      <c r="G868" s="210"/>
    </row>
    <row r="869" ht="15.75" customHeight="1">
      <c r="A869" s="210"/>
      <c r="B869" s="210"/>
      <c r="C869" s="210"/>
      <c r="D869" s="210"/>
      <c r="E869" s="210"/>
      <c r="F869" s="210"/>
      <c r="G869" s="210"/>
    </row>
    <row r="870" ht="15.75" customHeight="1">
      <c r="A870" s="210"/>
      <c r="B870" s="210"/>
      <c r="C870" s="210"/>
      <c r="D870" s="210"/>
      <c r="E870" s="210"/>
      <c r="F870" s="210"/>
      <c r="G870" s="210"/>
    </row>
    <row r="871" ht="15.75" customHeight="1">
      <c r="A871" s="210"/>
      <c r="B871" s="210"/>
      <c r="C871" s="210"/>
      <c r="D871" s="210"/>
      <c r="E871" s="210"/>
      <c r="F871" s="210"/>
      <c r="G871" s="210"/>
    </row>
    <row r="872" ht="15.75" customHeight="1">
      <c r="A872" s="210"/>
      <c r="B872" s="210"/>
      <c r="C872" s="210"/>
      <c r="D872" s="210"/>
      <c r="E872" s="210"/>
      <c r="F872" s="210"/>
      <c r="G872" s="210"/>
    </row>
    <row r="873" ht="15.75" customHeight="1">
      <c r="A873" s="210"/>
      <c r="B873" s="210"/>
      <c r="C873" s="210"/>
      <c r="D873" s="210"/>
      <c r="E873" s="210"/>
      <c r="F873" s="210"/>
      <c r="G873" s="210"/>
    </row>
    <row r="874" ht="15.75" customHeight="1">
      <c r="A874" s="210"/>
      <c r="B874" s="210"/>
      <c r="C874" s="210"/>
      <c r="D874" s="210"/>
      <c r="E874" s="210"/>
      <c r="F874" s="210"/>
      <c r="G874" s="210"/>
    </row>
    <row r="875" ht="15.75" customHeight="1">
      <c r="A875" s="210"/>
      <c r="B875" s="210"/>
      <c r="C875" s="210"/>
      <c r="D875" s="210"/>
      <c r="E875" s="210"/>
      <c r="F875" s="210"/>
      <c r="G875" s="210"/>
    </row>
    <row r="876" ht="15.75" customHeight="1">
      <c r="A876" s="210"/>
      <c r="B876" s="210"/>
      <c r="C876" s="210"/>
      <c r="D876" s="210"/>
      <c r="E876" s="210"/>
      <c r="F876" s="210"/>
      <c r="G876" s="210"/>
    </row>
    <row r="877" ht="15.75" customHeight="1">
      <c r="A877" s="210"/>
      <c r="B877" s="210"/>
      <c r="C877" s="210"/>
      <c r="D877" s="210"/>
      <c r="E877" s="210"/>
      <c r="F877" s="210"/>
      <c r="G877" s="210"/>
    </row>
    <row r="878" ht="15.75" customHeight="1">
      <c r="A878" s="210"/>
      <c r="B878" s="210"/>
      <c r="C878" s="210"/>
      <c r="D878" s="210"/>
      <c r="E878" s="210"/>
      <c r="F878" s="210"/>
      <c r="G878" s="210"/>
    </row>
    <row r="879" ht="15.75" customHeight="1">
      <c r="A879" s="210"/>
      <c r="B879" s="210"/>
      <c r="C879" s="210"/>
      <c r="D879" s="210"/>
      <c r="E879" s="210"/>
      <c r="F879" s="210"/>
      <c r="G879" s="210"/>
    </row>
    <row r="880" ht="15.75" customHeight="1">
      <c r="A880" s="210"/>
      <c r="B880" s="210"/>
      <c r="C880" s="210"/>
      <c r="D880" s="210"/>
      <c r="E880" s="210"/>
      <c r="F880" s="210"/>
      <c r="G880" s="210"/>
    </row>
    <row r="881" ht="15.75" customHeight="1">
      <c r="A881" s="210"/>
      <c r="B881" s="210"/>
      <c r="C881" s="210"/>
      <c r="D881" s="210"/>
      <c r="E881" s="210"/>
      <c r="F881" s="210"/>
      <c r="G881" s="210"/>
    </row>
    <row r="882" ht="15.75" customHeight="1">
      <c r="A882" s="210"/>
      <c r="B882" s="210"/>
      <c r="C882" s="210"/>
      <c r="D882" s="210"/>
      <c r="E882" s="210"/>
      <c r="F882" s="210"/>
      <c r="G882" s="210"/>
    </row>
    <row r="883" ht="15.75" customHeight="1">
      <c r="A883" s="210"/>
      <c r="B883" s="210"/>
      <c r="C883" s="210"/>
      <c r="D883" s="210"/>
      <c r="E883" s="210"/>
      <c r="F883" s="210"/>
      <c r="G883" s="210"/>
    </row>
    <row r="884" ht="15.75" customHeight="1">
      <c r="A884" s="210"/>
      <c r="B884" s="210"/>
      <c r="C884" s="210"/>
      <c r="D884" s="210"/>
      <c r="E884" s="210"/>
      <c r="F884" s="210"/>
      <c r="G884" s="210"/>
    </row>
    <row r="885" ht="15.75" customHeight="1">
      <c r="A885" s="210"/>
      <c r="B885" s="210"/>
      <c r="C885" s="210"/>
      <c r="D885" s="210"/>
      <c r="E885" s="210"/>
      <c r="F885" s="210"/>
      <c r="G885" s="210"/>
    </row>
    <row r="886" ht="15.75" customHeight="1">
      <c r="A886" s="210"/>
      <c r="B886" s="210"/>
      <c r="C886" s="210"/>
      <c r="D886" s="210"/>
      <c r="E886" s="210"/>
      <c r="F886" s="210"/>
      <c r="G886" s="210"/>
    </row>
    <row r="887" ht="15.75" customHeight="1">
      <c r="A887" s="210"/>
      <c r="B887" s="210"/>
      <c r="C887" s="210"/>
      <c r="D887" s="210"/>
      <c r="E887" s="210"/>
      <c r="F887" s="210"/>
      <c r="G887" s="210"/>
    </row>
    <row r="888" ht="15.75" customHeight="1">
      <c r="A888" s="210"/>
      <c r="B888" s="210"/>
      <c r="C888" s="210"/>
      <c r="D888" s="210"/>
      <c r="E888" s="210"/>
      <c r="F888" s="210"/>
      <c r="G888" s="210"/>
    </row>
    <row r="889" ht="15.75" customHeight="1">
      <c r="A889" s="210"/>
      <c r="B889" s="210"/>
      <c r="C889" s="210"/>
      <c r="D889" s="210"/>
      <c r="E889" s="210"/>
      <c r="F889" s="210"/>
      <c r="G889" s="210"/>
    </row>
    <row r="890" ht="15.75" customHeight="1">
      <c r="A890" s="210"/>
      <c r="B890" s="210"/>
      <c r="C890" s="210"/>
      <c r="D890" s="210"/>
      <c r="E890" s="210"/>
      <c r="F890" s="210"/>
      <c r="G890" s="210"/>
    </row>
    <row r="891" ht="15.75" customHeight="1">
      <c r="A891" s="210"/>
      <c r="B891" s="210"/>
      <c r="C891" s="210"/>
      <c r="D891" s="210"/>
      <c r="E891" s="210"/>
      <c r="F891" s="210"/>
      <c r="G891" s="210"/>
    </row>
    <row r="892" ht="15.75" customHeight="1">
      <c r="A892" s="210"/>
      <c r="B892" s="210"/>
      <c r="C892" s="210"/>
      <c r="D892" s="210"/>
      <c r="E892" s="210"/>
      <c r="F892" s="210"/>
      <c r="G892" s="210"/>
    </row>
    <row r="893" ht="15.75" customHeight="1">
      <c r="A893" s="210"/>
      <c r="B893" s="210"/>
      <c r="C893" s="210"/>
      <c r="D893" s="210"/>
      <c r="E893" s="210"/>
      <c r="F893" s="210"/>
      <c r="G893" s="210"/>
    </row>
    <row r="894" ht="15.75" customHeight="1">
      <c r="A894" s="210"/>
      <c r="B894" s="210"/>
      <c r="C894" s="210"/>
      <c r="D894" s="210"/>
      <c r="E894" s="210"/>
      <c r="F894" s="210"/>
      <c r="G894" s="210"/>
    </row>
    <row r="895" ht="15.75" customHeight="1">
      <c r="A895" s="210"/>
      <c r="B895" s="210"/>
      <c r="C895" s="210"/>
      <c r="D895" s="210"/>
      <c r="E895" s="210"/>
      <c r="F895" s="210"/>
      <c r="G895" s="210"/>
    </row>
    <row r="896" ht="15.75" customHeight="1">
      <c r="A896" s="210"/>
      <c r="B896" s="210"/>
      <c r="C896" s="210"/>
      <c r="D896" s="210"/>
      <c r="E896" s="210"/>
      <c r="F896" s="210"/>
      <c r="G896" s="210"/>
    </row>
    <row r="897" ht="15.75" customHeight="1">
      <c r="A897" s="210"/>
      <c r="B897" s="210"/>
      <c r="C897" s="210"/>
      <c r="D897" s="210"/>
      <c r="E897" s="210"/>
      <c r="F897" s="210"/>
      <c r="G897" s="210"/>
    </row>
    <row r="898" ht="15.75" customHeight="1">
      <c r="A898" s="210"/>
      <c r="B898" s="210"/>
      <c r="C898" s="210"/>
      <c r="D898" s="210"/>
      <c r="E898" s="210"/>
      <c r="F898" s="210"/>
      <c r="G898" s="210"/>
    </row>
    <row r="899" ht="15.75" customHeight="1">
      <c r="A899" s="210"/>
      <c r="B899" s="210"/>
      <c r="C899" s="210"/>
      <c r="D899" s="210"/>
      <c r="E899" s="210"/>
      <c r="F899" s="210"/>
      <c r="G899" s="210"/>
    </row>
    <row r="900" ht="15.75" customHeight="1">
      <c r="A900" s="210"/>
      <c r="B900" s="210"/>
      <c r="C900" s="210"/>
      <c r="D900" s="210"/>
      <c r="E900" s="210"/>
      <c r="F900" s="210"/>
      <c r="G900" s="210"/>
    </row>
    <row r="901" ht="15.75" customHeight="1">
      <c r="A901" s="210"/>
      <c r="B901" s="210"/>
      <c r="C901" s="210"/>
      <c r="D901" s="210"/>
      <c r="E901" s="210"/>
      <c r="F901" s="210"/>
      <c r="G901" s="210"/>
    </row>
    <row r="902" ht="15.75" customHeight="1">
      <c r="A902" s="210"/>
      <c r="B902" s="210"/>
      <c r="C902" s="210"/>
      <c r="D902" s="210"/>
      <c r="E902" s="210"/>
      <c r="F902" s="210"/>
      <c r="G902" s="210"/>
    </row>
    <row r="903" ht="15.75" customHeight="1">
      <c r="A903" s="210"/>
      <c r="B903" s="210"/>
      <c r="C903" s="210"/>
      <c r="D903" s="210"/>
      <c r="E903" s="210"/>
      <c r="F903" s="210"/>
      <c r="G903" s="210"/>
    </row>
    <row r="904" ht="15.75" customHeight="1">
      <c r="A904" s="210"/>
      <c r="B904" s="210"/>
      <c r="C904" s="210"/>
      <c r="D904" s="210"/>
      <c r="E904" s="210"/>
      <c r="F904" s="210"/>
      <c r="G904" s="210"/>
    </row>
    <row r="905" ht="15.75" customHeight="1">
      <c r="A905" s="210"/>
      <c r="B905" s="210"/>
      <c r="C905" s="210"/>
      <c r="D905" s="210"/>
      <c r="E905" s="210"/>
      <c r="F905" s="210"/>
      <c r="G905" s="210"/>
    </row>
    <row r="906" ht="15.75" customHeight="1">
      <c r="A906" s="210"/>
      <c r="B906" s="210"/>
      <c r="C906" s="210"/>
      <c r="D906" s="210"/>
      <c r="E906" s="210"/>
      <c r="F906" s="210"/>
      <c r="G906" s="210"/>
    </row>
    <row r="907" ht="15.75" customHeight="1">
      <c r="A907" s="210"/>
      <c r="B907" s="210"/>
      <c r="C907" s="210"/>
      <c r="D907" s="210"/>
      <c r="E907" s="210"/>
      <c r="F907" s="210"/>
      <c r="G907" s="210"/>
    </row>
    <row r="908" ht="15.75" customHeight="1">
      <c r="A908" s="210"/>
      <c r="B908" s="210"/>
      <c r="C908" s="210"/>
      <c r="D908" s="210"/>
      <c r="E908" s="210"/>
      <c r="F908" s="210"/>
      <c r="G908" s="210"/>
    </row>
    <row r="909" ht="15.75" customHeight="1">
      <c r="A909" s="210"/>
      <c r="B909" s="210"/>
      <c r="C909" s="210"/>
      <c r="D909" s="210"/>
      <c r="E909" s="210"/>
      <c r="F909" s="210"/>
      <c r="G909" s="210"/>
    </row>
    <row r="910" ht="15.75" customHeight="1">
      <c r="A910" s="210"/>
      <c r="B910" s="210"/>
      <c r="C910" s="210"/>
      <c r="D910" s="210"/>
      <c r="E910" s="210"/>
      <c r="F910" s="210"/>
      <c r="G910" s="210"/>
    </row>
    <row r="911" ht="15.75" customHeight="1">
      <c r="A911" s="210"/>
      <c r="B911" s="210"/>
      <c r="C911" s="210"/>
      <c r="D911" s="210"/>
      <c r="E911" s="210"/>
      <c r="F911" s="210"/>
      <c r="G911" s="210"/>
    </row>
    <row r="912" ht="15.75" customHeight="1">
      <c r="A912" s="210"/>
      <c r="B912" s="210"/>
      <c r="C912" s="210"/>
      <c r="D912" s="210"/>
      <c r="E912" s="210"/>
      <c r="F912" s="210"/>
      <c r="G912" s="210"/>
    </row>
    <row r="913" ht="15.75" customHeight="1">
      <c r="A913" s="210"/>
      <c r="B913" s="210"/>
      <c r="C913" s="210"/>
      <c r="D913" s="210"/>
      <c r="E913" s="210"/>
      <c r="F913" s="210"/>
      <c r="G913" s="210"/>
    </row>
    <row r="914" ht="15.75" customHeight="1">
      <c r="A914" s="210"/>
      <c r="B914" s="210"/>
      <c r="C914" s="210"/>
      <c r="D914" s="210"/>
      <c r="E914" s="210"/>
      <c r="F914" s="210"/>
      <c r="G914" s="210"/>
    </row>
    <row r="915" ht="15.75" customHeight="1">
      <c r="A915" s="210"/>
      <c r="B915" s="210"/>
      <c r="C915" s="210"/>
      <c r="D915" s="210"/>
      <c r="E915" s="210"/>
      <c r="F915" s="210"/>
      <c r="G915" s="210"/>
    </row>
    <row r="916" ht="15.75" customHeight="1">
      <c r="A916" s="210"/>
      <c r="B916" s="210"/>
      <c r="C916" s="210"/>
      <c r="D916" s="210"/>
      <c r="E916" s="210"/>
      <c r="F916" s="210"/>
      <c r="G916" s="210"/>
    </row>
    <row r="917" ht="15.75" customHeight="1">
      <c r="A917" s="210"/>
      <c r="B917" s="210"/>
      <c r="C917" s="210"/>
      <c r="D917" s="210"/>
      <c r="E917" s="210"/>
      <c r="F917" s="210"/>
      <c r="G917" s="210"/>
    </row>
    <row r="918" ht="15.75" customHeight="1">
      <c r="A918" s="210"/>
      <c r="B918" s="210"/>
      <c r="C918" s="210"/>
      <c r="D918" s="210"/>
      <c r="E918" s="210"/>
      <c r="F918" s="210"/>
      <c r="G918" s="210"/>
    </row>
    <row r="919" ht="15.75" customHeight="1">
      <c r="A919" s="210"/>
      <c r="B919" s="210"/>
      <c r="C919" s="210"/>
      <c r="D919" s="210"/>
      <c r="E919" s="210"/>
      <c r="F919" s="210"/>
      <c r="G919" s="210"/>
    </row>
    <row r="920" ht="15.75" customHeight="1">
      <c r="A920" s="210"/>
      <c r="B920" s="210"/>
      <c r="C920" s="210"/>
      <c r="D920" s="210"/>
      <c r="E920" s="210"/>
      <c r="F920" s="210"/>
      <c r="G920" s="210"/>
    </row>
    <row r="921" ht="15.75" customHeight="1">
      <c r="A921" s="210"/>
      <c r="B921" s="210"/>
      <c r="C921" s="210"/>
      <c r="D921" s="210"/>
      <c r="E921" s="210"/>
      <c r="F921" s="210"/>
      <c r="G921" s="210"/>
    </row>
    <row r="922" ht="15.75" customHeight="1">
      <c r="A922" s="210"/>
      <c r="B922" s="210"/>
      <c r="C922" s="210"/>
      <c r="D922" s="210"/>
      <c r="E922" s="210"/>
      <c r="F922" s="210"/>
      <c r="G922" s="210"/>
    </row>
    <row r="923" ht="15.75" customHeight="1">
      <c r="A923" s="210"/>
      <c r="B923" s="210"/>
      <c r="C923" s="210"/>
      <c r="D923" s="210"/>
      <c r="E923" s="210"/>
      <c r="F923" s="210"/>
      <c r="G923" s="210"/>
    </row>
    <row r="924" ht="15.75" customHeight="1">
      <c r="A924" s="210"/>
      <c r="B924" s="210"/>
      <c r="C924" s="210"/>
      <c r="D924" s="210"/>
      <c r="E924" s="210"/>
      <c r="F924" s="210"/>
      <c r="G924" s="210"/>
    </row>
    <row r="925" ht="15.75" customHeight="1">
      <c r="A925" s="210"/>
      <c r="B925" s="210"/>
      <c r="C925" s="210"/>
      <c r="D925" s="210"/>
      <c r="E925" s="210"/>
      <c r="F925" s="210"/>
      <c r="G925" s="210"/>
    </row>
    <row r="926" ht="15.75" customHeight="1">
      <c r="A926" s="210"/>
      <c r="B926" s="210"/>
      <c r="C926" s="210"/>
      <c r="D926" s="210"/>
      <c r="E926" s="210"/>
      <c r="F926" s="210"/>
      <c r="G926" s="210"/>
    </row>
    <row r="927" ht="15.75" customHeight="1">
      <c r="A927" s="210"/>
      <c r="B927" s="210"/>
      <c r="C927" s="210"/>
      <c r="D927" s="210"/>
      <c r="E927" s="210"/>
      <c r="F927" s="210"/>
      <c r="G927" s="210"/>
    </row>
    <row r="928" ht="15.75" customHeight="1">
      <c r="A928" s="210"/>
      <c r="B928" s="210"/>
      <c r="C928" s="210"/>
      <c r="D928" s="210"/>
      <c r="E928" s="210"/>
      <c r="F928" s="210"/>
      <c r="G928" s="210"/>
    </row>
    <row r="929" ht="15.75" customHeight="1">
      <c r="A929" s="210"/>
      <c r="B929" s="210"/>
      <c r="C929" s="210"/>
      <c r="D929" s="210"/>
      <c r="E929" s="210"/>
      <c r="F929" s="210"/>
      <c r="G929" s="210"/>
    </row>
    <row r="930" ht="15.75" customHeight="1">
      <c r="A930" s="210"/>
      <c r="B930" s="210"/>
      <c r="C930" s="210"/>
      <c r="D930" s="210"/>
      <c r="E930" s="210"/>
      <c r="F930" s="210"/>
      <c r="G930" s="210"/>
    </row>
    <row r="931" ht="15.75" customHeight="1">
      <c r="A931" s="210"/>
      <c r="B931" s="210"/>
      <c r="C931" s="210"/>
      <c r="D931" s="210"/>
      <c r="E931" s="210"/>
      <c r="F931" s="210"/>
      <c r="G931" s="210"/>
    </row>
    <row r="932" ht="15.75" customHeight="1">
      <c r="A932" s="210"/>
      <c r="B932" s="210"/>
      <c r="C932" s="210"/>
      <c r="D932" s="210"/>
      <c r="E932" s="210"/>
      <c r="F932" s="210"/>
      <c r="G932" s="210"/>
    </row>
    <row r="933" ht="15.75" customHeight="1">
      <c r="A933" s="210"/>
      <c r="B933" s="210"/>
      <c r="C933" s="210"/>
      <c r="D933" s="210"/>
      <c r="E933" s="210"/>
      <c r="F933" s="210"/>
      <c r="G933" s="210"/>
    </row>
    <row r="934" ht="15.75" customHeight="1">
      <c r="A934" s="210"/>
      <c r="B934" s="210"/>
      <c r="C934" s="210"/>
      <c r="D934" s="210"/>
      <c r="E934" s="210"/>
      <c r="F934" s="210"/>
      <c r="G934" s="210"/>
    </row>
    <row r="935" ht="15.75" customHeight="1">
      <c r="A935" s="210"/>
      <c r="B935" s="210"/>
      <c r="C935" s="210"/>
      <c r="D935" s="210"/>
      <c r="E935" s="210"/>
      <c r="F935" s="210"/>
      <c r="G935" s="210"/>
    </row>
    <row r="936" ht="15.75" customHeight="1">
      <c r="A936" s="210"/>
      <c r="B936" s="210"/>
      <c r="C936" s="210"/>
      <c r="D936" s="210"/>
      <c r="E936" s="210"/>
      <c r="F936" s="210"/>
      <c r="G936" s="210"/>
    </row>
    <row r="937" ht="15.75" customHeight="1">
      <c r="A937" s="210"/>
      <c r="B937" s="210"/>
      <c r="C937" s="210"/>
      <c r="D937" s="210"/>
      <c r="E937" s="210"/>
      <c r="F937" s="210"/>
      <c r="G937" s="210"/>
    </row>
    <row r="938" ht="15.75" customHeight="1">
      <c r="A938" s="210"/>
      <c r="B938" s="210"/>
      <c r="C938" s="210"/>
      <c r="D938" s="210"/>
      <c r="E938" s="210"/>
      <c r="F938" s="210"/>
      <c r="G938" s="210"/>
    </row>
    <row r="939" ht="15.75" customHeight="1">
      <c r="A939" s="210"/>
      <c r="B939" s="210"/>
      <c r="C939" s="210"/>
      <c r="D939" s="210"/>
      <c r="E939" s="210"/>
      <c r="F939" s="210"/>
      <c r="G939" s="210"/>
    </row>
    <row r="940" ht="15.75" customHeight="1">
      <c r="A940" s="210"/>
      <c r="B940" s="210"/>
      <c r="C940" s="210"/>
      <c r="D940" s="210"/>
      <c r="E940" s="210"/>
      <c r="F940" s="210"/>
      <c r="G940" s="210"/>
    </row>
    <row r="941" ht="15.75" customHeight="1">
      <c r="A941" s="210"/>
      <c r="B941" s="210"/>
      <c r="C941" s="210"/>
      <c r="D941" s="210"/>
      <c r="E941" s="210"/>
      <c r="F941" s="210"/>
      <c r="G941" s="210"/>
    </row>
    <row r="942" ht="15.75" customHeight="1">
      <c r="A942" s="210"/>
      <c r="B942" s="210"/>
      <c r="C942" s="210"/>
      <c r="D942" s="210"/>
      <c r="E942" s="210"/>
      <c r="F942" s="210"/>
      <c r="G942" s="210"/>
    </row>
    <row r="943" ht="15.75" customHeight="1">
      <c r="A943" s="210"/>
      <c r="B943" s="210"/>
      <c r="C943" s="210"/>
      <c r="D943" s="210"/>
      <c r="E943" s="210"/>
      <c r="F943" s="210"/>
      <c r="G943" s="210"/>
    </row>
    <row r="944" ht="15.75" customHeight="1">
      <c r="A944" s="210"/>
      <c r="B944" s="210"/>
      <c r="C944" s="210"/>
      <c r="D944" s="210"/>
      <c r="E944" s="210"/>
      <c r="F944" s="210"/>
      <c r="G944" s="210"/>
    </row>
    <row r="945" ht="15.75" customHeight="1">
      <c r="A945" s="210"/>
      <c r="B945" s="210"/>
      <c r="C945" s="210"/>
      <c r="D945" s="210"/>
      <c r="E945" s="210"/>
      <c r="F945" s="210"/>
      <c r="G945" s="210"/>
    </row>
    <row r="946" ht="15.75" customHeight="1">
      <c r="A946" s="210"/>
      <c r="B946" s="210"/>
      <c r="C946" s="210"/>
      <c r="D946" s="210"/>
      <c r="E946" s="210"/>
      <c r="F946" s="210"/>
      <c r="G946" s="210"/>
    </row>
    <row r="947" ht="15.75" customHeight="1">
      <c r="A947" s="210"/>
      <c r="B947" s="210"/>
      <c r="C947" s="210"/>
      <c r="D947" s="210"/>
      <c r="E947" s="210"/>
      <c r="F947" s="210"/>
      <c r="G947" s="210"/>
    </row>
    <row r="948" ht="15.75" customHeight="1">
      <c r="A948" s="210"/>
      <c r="B948" s="210"/>
      <c r="C948" s="210"/>
      <c r="D948" s="210"/>
      <c r="E948" s="210"/>
      <c r="F948" s="210"/>
      <c r="G948" s="210"/>
    </row>
    <row r="949" ht="15.75" customHeight="1">
      <c r="A949" s="210"/>
      <c r="B949" s="210"/>
      <c r="C949" s="210"/>
      <c r="D949" s="210"/>
      <c r="E949" s="210"/>
      <c r="F949" s="210"/>
      <c r="G949" s="210"/>
    </row>
    <row r="950" ht="15.75" customHeight="1">
      <c r="A950" s="210"/>
      <c r="B950" s="210"/>
      <c r="C950" s="210"/>
      <c r="D950" s="210"/>
      <c r="E950" s="210"/>
      <c r="F950" s="210"/>
      <c r="G950" s="210"/>
    </row>
    <row r="951" ht="15.75" customHeight="1">
      <c r="A951" s="210"/>
      <c r="B951" s="210"/>
      <c r="C951" s="210"/>
      <c r="D951" s="210"/>
      <c r="E951" s="210"/>
      <c r="F951" s="210"/>
      <c r="G951" s="210"/>
    </row>
    <row r="952" ht="15.75" customHeight="1">
      <c r="A952" s="210"/>
      <c r="B952" s="210"/>
      <c r="C952" s="210"/>
      <c r="D952" s="210"/>
      <c r="E952" s="210"/>
      <c r="F952" s="210"/>
      <c r="G952" s="210"/>
    </row>
    <row r="953" ht="15.75" customHeight="1">
      <c r="A953" s="210"/>
      <c r="B953" s="210"/>
      <c r="C953" s="210"/>
      <c r="D953" s="210"/>
      <c r="E953" s="210"/>
      <c r="F953" s="210"/>
      <c r="G953" s="210"/>
    </row>
    <row r="954" ht="15.75" customHeight="1">
      <c r="A954" s="210"/>
      <c r="B954" s="210"/>
      <c r="C954" s="210"/>
      <c r="D954" s="210"/>
      <c r="E954" s="210"/>
      <c r="F954" s="210"/>
      <c r="G954" s="210"/>
    </row>
    <row r="955" ht="15.75" customHeight="1">
      <c r="A955" s="210"/>
      <c r="B955" s="210"/>
      <c r="C955" s="210"/>
      <c r="D955" s="210"/>
      <c r="E955" s="210"/>
      <c r="F955" s="210"/>
      <c r="G955" s="210"/>
    </row>
    <row r="956" ht="15.75" customHeight="1">
      <c r="A956" s="210"/>
      <c r="B956" s="210"/>
      <c r="C956" s="210"/>
      <c r="D956" s="210"/>
      <c r="E956" s="210"/>
      <c r="F956" s="210"/>
      <c r="G956" s="210"/>
    </row>
    <row r="957" ht="15.75" customHeight="1">
      <c r="A957" s="210"/>
      <c r="B957" s="210"/>
      <c r="C957" s="210"/>
      <c r="D957" s="210"/>
      <c r="E957" s="210"/>
      <c r="F957" s="210"/>
      <c r="G957" s="210"/>
    </row>
    <row r="958" ht="15.75" customHeight="1">
      <c r="A958" s="210"/>
      <c r="B958" s="210"/>
      <c r="C958" s="210"/>
      <c r="D958" s="210"/>
      <c r="E958" s="210"/>
      <c r="F958" s="210"/>
      <c r="G958" s="210"/>
    </row>
    <row r="959" ht="15.75" customHeight="1">
      <c r="A959" s="210"/>
      <c r="B959" s="210"/>
      <c r="C959" s="210"/>
      <c r="D959" s="210"/>
      <c r="E959" s="210"/>
      <c r="F959" s="210"/>
      <c r="G959" s="210"/>
    </row>
    <row r="960" ht="15.75" customHeight="1">
      <c r="A960" s="210"/>
      <c r="B960" s="210"/>
      <c r="C960" s="210"/>
      <c r="D960" s="210"/>
      <c r="E960" s="210"/>
      <c r="F960" s="210"/>
      <c r="G960" s="210"/>
    </row>
    <row r="961" ht="15.75" customHeight="1">
      <c r="A961" s="210"/>
      <c r="B961" s="210"/>
      <c r="C961" s="210"/>
      <c r="D961" s="210"/>
      <c r="E961" s="210"/>
      <c r="F961" s="210"/>
      <c r="G961" s="210"/>
    </row>
    <row r="962" ht="15.75" customHeight="1">
      <c r="A962" s="210"/>
      <c r="B962" s="210"/>
      <c r="C962" s="210"/>
      <c r="D962" s="210"/>
      <c r="E962" s="210"/>
      <c r="F962" s="210"/>
      <c r="G962" s="210"/>
    </row>
    <row r="963" ht="15.75" customHeight="1">
      <c r="A963" s="210"/>
      <c r="B963" s="210"/>
      <c r="C963" s="210"/>
      <c r="D963" s="210"/>
      <c r="E963" s="210"/>
      <c r="F963" s="210"/>
      <c r="G963" s="210"/>
    </row>
    <row r="964" ht="15.75" customHeight="1">
      <c r="A964" s="210"/>
      <c r="B964" s="210"/>
      <c r="C964" s="210"/>
      <c r="D964" s="210"/>
      <c r="E964" s="210"/>
      <c r="F964" s="210"/>
      <c r="G964" s="210"/>
    </row>
    <row r="965" ht="15.75" customHeight="1">
      <c r="A965" s="210"/>
      <c r="B965" s="210"/>
      <c r="C965" s="210"/>
      <c r="D965" s="210"/>
      <c r="E965" s="210"/>
      <c r="F965" s="210"/>
      <c r="G965" s="210"/>
    </row>
    <row r="966" ht="15.75" customHeight="1">
      <c r="A966" s="210"/>
      <c r="B966" s="210"/>
      <c r="C966" s="210"/>
      <c r="D966" s="210"/>
      <c r="E966" s="210"/>
      <c r="F966" s="210"/>
      <c r="G966" s="210"/>
    </row>
    <row r="967" ht="15.75" customHeight="1">
      <c r="A967" s="210"/>
      <c r="B967" s="210"/>
      <c r="C967" s="210"/>
      <c r="D967" s="210"/>
      <c r="E967" s="210"/>
      <c r="F967" s="210"/>
      <c r="G967" s="210"/>
    </row>
    <row r="968" ht="15.75" customHeight="1">
      <c r="A968" s="210"/>
      <c r="B968" s="210"/>
      <c r="C968" s="210"/>
      <c r="D968" s="210"/>
      <c r="E968" s="210"/>
      <c r="F968" s="210"/>
      <c r="G968" s="210"/>
    </row>
    <row r="969" ht="15.75" customHeight="1">
      <c r="A969" s="210"/>
      <c r="B969" s="210"/>
      <c r="C969" s="210"/>
      <c r="D969" s="210"/>
      <c r="E969" s="210"/>
      <c r="F969" s="210"/>
      <c r="G969" s="210"/>
    </row>
    <row r="970" ht="15.75" customHeight="1">
      <c r="A970" s="210"/>
      <c r="B970" s="210"/>
      <c r="C970" s="210"/>
      <c r="D970" s="210"/>
      <c r="E970" s="210"/>
      <c r="F970" s="210"/>
      <c r="G970" s="210"/>
    </row>
    <row r="971" ht="15.75" customHeight="1">
      <c r="A971" s="210"/>
      <c r="B971" s="210"/>
      <c r="C971" s="210"/>
      <c r="D971" s="210"/>
      <c r="E971" s="210"/>
      <c r="F971" s="210"/>
      <c r="G971" s="210"/>
    </row>
    <row r="972" ht="15.75" customHeight="1">
      <c r="A972" s="210"/>
      <c r="B972" s="210"/>
      <c r="C972" s="210"/>
      <c r="D972" s="210"/>
      <c r="E972" s="210"/>
      <c r="F972" s="210"/>
      <c r="G972" s="210"/>
    </row>
    <row r="973" ht="15.75" customHeight="1">
      <c r="A973" s="210"/>
      <c r="B973" s="210"/>
      <c r="C973" s="210"/>
      <c r="D973" s="210"/>
      <c r="E973" s="210"/>
      <c r="F973" s="210"/>
      <c r="G973" s="210"/>
    </row>
    <row r="974" ht="15.75" customHeight="1">
      <c r="A974" s="210"/>
      <c r="B974" s="210"/>
      <c r="C974" s="210"/>
      <c r="D974" s="210"/>
      <c r="E974" s="210"/>
      <c r="F974" s="210"/>
      <c r="G974" s="210"/>
    </row>
    <row r="975" ht="15.75" customHeight="1">
      <c r="A975" s="210"/>
      <c r="B975" s="210"/>
      <c r="C975" s="210"/>
      <c r="D975" s="210"/>
      <c r="E975" s="210"/>
      <c r="F975" s="210"/>
      <c r="G975" s="210"/>
    </row>
    <row r="976" ht="15.75" customHeight="1">
      <c r="A976" s="210"/>
      <c r="B976" s="210"/>
      <c r="C976" s="210"/>
      <c r="D976" s="210"/>
      <c r="E976" s="210"/>
      <c r="F976" s="210"/>
      <c r="G976" s="210"/>
    </row>
    <row r="977" ht="15.75" customHeight="1">
      <c r="A977" s="210"/>
      <c r="B977" s="210"/>
      <c r="C977" s="210"/>
      <c r="D977" s="210"/>
      <c r="E977" s="210"/>
      <c r="F977" s="210"/>
      <c r="G977" s="210"/>
    </row>
    <row r="978" ht="15.75" customHeight="1">
      <c r="A978" s="210"/>
      <c r="B978" s="210"/>
      <c r="C978" s="210"/>
      <c r="D978" s="210"/>
      <c r="E978" s="210"/>
      <c r="F978" s="210"/>
      <c r="G978" s="210"/>
    </row>
    <row r="979" ht="15.75" customHeight="1">
      <c r="A979" s="210"/>
      <c r="B979" s="210"/>
      <c r="C979" s="210"/>
      <c r="D979" s="210"/>
      <c r="E979" s="210"/>
      <c r="F979" s="210"/>
      <c r="G979" s="210"/>
    </row>
    <row r="980" ht="15.75" customHeight="1">
      <c r="A980" s="210"/>
      <c r="B980" s="210"/>
      <c r="C980" s="210"/>
      <c r="D980" s="210"/>
      <c r="E980" s="210"/>
      <c r="F980" s="210"/>
      <c r="G980" s="210"/>
    </row>
    <row r="981" ht="15.75" customHeight="1">
      <c r="A981" s="210"/>
      <c r="B981" s="210"/>
      <c r="C981" s="210"/>
      <c r="D981" s="210"/>
      <c r="E981" s="210"/>
      <c r="F981" s="210"/>
      <c r="G981" s="210"/>
    </row>
    <row r="982" ht="15.75" customHeight="1">
      <c r="A982" s="210"/>
      <c r="B982" s="210"/>
      <c r="C982" s="210"/>
      <c r="D982" s="210"/>
      <c r="E982" s="210"/>
      <c r="F982" s="210"/>
      <c r="G982" s="210"/>
    </row>
    <row r="983" ht="15.75" customHeight="1">
      <c r="A983" s="210"/>
      <c r="B983" s="210"/>
      <c r="C983" s="210"/>
      <c r="D983" s="210"/>
      <c r="E983" s="210"/>
      <c r="F983" s="210"/>
      <c r="G983" s="210"/>
    </row>
    <row r="984" ht="15.75" customHeight="1">
      <c r="A984" s="210"/>
      <c r="B984" s="210"/>
      <c r="C984" s="210"/>
      <c r="D984" s="210"/>
      <c r="E984" s="210"/>
      <c r="F984" s="210"/>
      <c r="G984" s="210"/>
    </row>
    <row r="985" ht="15.75" customHeight="1">
      <c r="A985" s="210"/>
      <c r="B985" s="210"/>
      <c r="C985" s="210"/>
      <c r="D985" s="210"/>
      <c r="E985" s="210"/>
      <c r="F985" s="210"/>
      <c r="G985" s="210"/>
    </row>
    <row r="986" ht="15.75" customHeight="1">
      <c r="A986" s="210"/>
      <c r="B986" s="210"/>
      <c r="C986" s="210"/>
      <c r="D986" s="210"/>
      <c r="E986" s="210"/>
      <c r="F986" s="210"/>
      <c r="G986" s="210"/>
    </row>
    <row r="987" ht="15.75" customHeight="1">
      <c r="A987" s="210"/>
      <c r="B987" s="210"/>
      <c r="C987" s="210"/>
      <c r="D987" s="210"/>
      <c r="E987" s="210"/>
      <c r="F987" s="210"/>
      <c r="G987" s="210"/>
    </row>
    <row r="988" ht="15.75" customHeight="1">
      <c r="A988" s="210"/>
      <c r="B988" s="210"/>
      <c r="C988" s="210"/>
      <c r="D988" s="210"/>
      <c r="E988" s="210"/>
      <c r="F988" s="210"/>
      <c r="G988" s="210"/>
    </row>
    <row r="989" ht="15.75" customHeight="1">
      <c r="A989" s="210"/>
      <c r="B989" s="210"/>
      <c r="C989" s="210"/>
      <c r="D989" s="210"/>
      <c r="E989" s="210"/>
      <c r="F989" s="210"/>
      <c r="G989" s="210"/>
    </row>
    <row r="990" ht="15.75" customHeight="1">
      <c r="A990" s="210"/>
      <c r="B990" s="210"/>
      <c r="C990" s="210"/>
      <c r="D990" s="210"/>
      <c r="E990" s="210"/>
      <c r="F990" s="210"/>
      <c r="G990" s="210"/>
    </row>
    <row r="991" ht="15.75" customHeight="1">
      <c r="A991" s="210"/>
      <c r="B991" s="210"/>
      <c r="C991" s="210"/>
      <c r="D991" s="210"/>
      <c r="E991" s="210"/>
      <c r="F991" s="210"/>
      <c r="G991" s="210"/>
    </row>
    <row r="992" ht="15.75" customHeight="1">
      <c r="A992" s="210"/>
      <c r="B992" s="210"/>
      <c r="C992" s="210"/>
      <c r="D992" s="210"/>
      <c r="E992" s="210"/>
      <c r="F992" s="210"/>
      <c r="G992" s="210"/>
    </row>
    <row r="993" ht="15.75" customHeight="1">
      <c r="A993" s="210"/>
      <c r="B993" s="210"/>
      <c r="C993" s="210"/>
      <c r="D993" s="210"/>
      <c r="E993" s="210"/>
      <c r="F993" s="210"/>
      <c r="G993" s="210"/>
    </row>
    <row r="994" ht="15.75" customHeight="1">
      <c r="A994" s="210"/>
      <c r="B994" s="210"/>
      <c r="C994" s="210"/>
      <c r="D994" s="210"/>
      <c r="E994" s="210"/>
      <c r="F994" s="210"/>
      <c r="G994" s="210"/>
    </row>
    <row r="995" ht="15.75" customHeight="1">
      <c r="A995" s="210"/>
      <c r="B995" s="210"/>
      <c r="C995" s="210"/>
      <c r="D995" s="210"/>
      <c r="E995" s="210"/>
      <c r="F995" s="210"/>
      <c r="G995" s="210"/>
    </row>
    <row r="996" ht="15.75" customHeight="1">
      <c r="A996" s="210"/>
      <c r="B996" s="210"/>
      <c r="C996" s="210"/>
      <c r="D996" s="210"/>
      <c r="E996" s="210"/>
      <c r="F996" s="210"/>
      <c r="G996" s="210"/>
    </row>
    <row r="997" ht="15.75" customHeight="1">
      <c r="A997" s="210"/>
      <c r="B997" s="210"/>
      <c r="C997" s="210"/>
      <c r="D997" s="210"/>
      <c r="E997" s="210"/>
      <c r="F997" s="210"/>
      <c r="G997" s="210"/>
    </row>
    <row r="998" ht="15.75" customHeight="1">
      <c r="A998" s="210"/>
      <c r="B998" s="210"/>
      <c r="C998" s="210"/>
      <c r="D998" s="210"/>
      <c r="E998" s="210"/>
      <c r="F998" s="210"/>
      <c r="G998" s="210"/>
    </row>
    <row r="999" ht="15.75" customHeight="1">
      <c r="A999" s="210"/>
      <c r="B999" s="210"/>
      <c r="C999" s="210"/>
      <c r="D999" s="210"/>
      <c r="E999" s="210"/>
      <c r="F999" s="210"/>
      <c r="G999" s="210"/>
    </row>
    <row r="1000" ht="15.75" customHeight="1">
      <c r="A1000" s="210"/>
      <c r="B1000" s="210"/>
      <c r="C1000" s="210"/>
      <c r="D1000" s="210"/>
      <c r="E1000" s="210"/>
      <c r="F1000" s="210"/>
      <c r="G1000" s="210"/>
    </row>
  </sheetData>
  <mergeCells count="4">
    <mergeCell ref="A1:G1"/>
    <mergeCell ref="A2:G2"/>
    <mergeCell ref="A20:G20"/>
    <mergeCell ref="A38:G38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2.0"/>
    <col customWidth="1" min="3" max="3" width="18.0"/>
    <col customWidth="1" min="4" max="4" width="16.0"/>
    <col customWidth="1" min="5" max="5" width="18.0"/>
    <col customWidth="1" min="6" max="6" width="58.0"/>
    <col customWidth="1" min="7" max="7" width="12.0"/>
    <col customWidth="1" min="8" max="26" width="8.63"/>
  </cols>
  <sheetData>
    <row r="1" ht="33.75" customHeight="1">
      <c r="A1" s="1" t="s">
        <v>333</v>
      </c>
      <c r="B1" s="2"/>
      <c r="C1" s="2"/>
      <c r="D1" s="2"/>
      <c r="E1" s="2"/>
      <c r="F1" s="2"/>
      <c r="G1" s="3"/>
    </row>
    <row r="2" ht="14.25" customHeight="1">
      <c r="A2" s="4" t="s">
        <v>334</v>
      </c>
    </row>
    <row r="3" ht="14.25" customHeight="1">
      <c r="A3" s="6" t="s">
        <v>8</v>
      </c>
      <c r="B3" s="8" t="s">
        <v>10</v>
      </c>
      <c r="C3" s="8" t="s">
        <v>12</v>
      </c>
      <c r="D3" s="8" t="s">
        <v>13</v>
      </c>
      <c r="E3" s="8" t="s">
        <v>16</v>
      </c>
      <c r="F3" s="8" t="s">
        <v>17</v>
      </c>
      <c r="G3" s="13" t="s">
        <v>18</v>
      </c>
    </row>
    <row r="4" ht="14.25" customHeight="1">
      <c r="A4" s="174" t="s">
        <v>275</v>
      </c>
      <c r="B4" s="177" t="s">
        <v>24</v>
      </c>
      <c r="C4" s="178">
        <f>'WIP FOOD'!$B$723</f>
        <v>2999.080592</v>
      </c>
      <c r="D4" s="177"/>
      <c r="E4" s="178">
        <f t="shared" ref="E4:E8" si="1">IFERROR(C4*D4,0)</f>
        <v>0</v>
      </c>
      <c r="F4" s="177" t="s">
        <v>26</v>
      </c>
      <c r="G4" s="182"/>
    </row>
    <row r="5" ht="14.25" customHeight="1">
      <c r="A5" s="183" t="s">
        <v>520</v>
      </c>
      <c r="B5" s="184"/>
      <c r="C5" s="186">
        <f>IFERROR(VLOOKUP(A5,'Market List'!$B:$F,5,FALSE),0)</f>
        <v>0</v>
      </c>
      <c r="D5" s="184"/>
      <c r="E5" s="186">
        <f t="shared" si="1"/>
        <v>0</v>
      </c>
      <c r="F5" s="184"/>
      <c r="G5" s="187"/>
    </row>
    <row r="6" ht="14.25" customHeight="1">
      <c r="A6" s="183" t="s">
        <v>53</v>
      </c>
      <c r="B6" s="184"/>
      <c r="C6" s="186">
        <f>'WIP FOOD'!$B$218</f>
        <v>362.7209213</v>
      </c>
      <c r="D6" s="184"/>
      <c r="E6" s="186">
        <f t="shared" si="1"/>
        <v>0</v>
      </c>
      <c r="F6" s="184"/>
      <c r="G6" s="187"/>
    </row>
    <row r="7" ht="14.25" customHeight="1">
      <c r="A7" s="183" t="s">
        <v>35</v>
      </c>
      <c r="B7" s="184"/>
      <c r="C7" s="186">
        <f>'WIP FOOD'!$B$452</f>
        <v>74.82275545</v>
      </c>
      <c r="D7" s="184"/>
      <c r="E7" s="186">
        <f t="shared" si="1"/>
        <v>0</v>
      </c>
      <c r="F7" s="184"/>
      <c r="G7" s="187"/>
    </row>
    <row r="8" ht="14.25" customHeight="1">
      <c r="A8" s="183" t="s">
        <v>236</v>
      </c>
      <c r="B8" s="184"/>
      <c r="C8" s="186">
        <f>IFERROR(VLOOKUP(A8,'Market List'!$B:$F,5,FALSE),0)</f>
        <v>0</v>
      </c>
      <c r="D8" s="184"/>
      <c r="E8" s="186">
        <f t="shared" si="1"/>
        <v>0</v>
      </c>
      <c r="F8" s="184"/>
      <c r="G8" s="187"/>
    </row>
    <row r="9" ht="14.25" customHeight="1">
      <c r="A9" s="183"/>
      <c r="B9" s="184"/>
      <c r="C9" s="186"/>
      <c r="D9" s="184"/>
      <c r="E9" s="186">
        <v>0.0</v>
      </c>
      <c r="F9" s="184"/>
      <c r="G9" s="187"/>
    </row>
    <row r="10" ht="14.25" customHeight="1">
      <c r="A10" s="183"/>
      <c r="B10" s="184"/>
      <c r="C10" s="186"/>
      <c r="D10" s="184"/>
      <c r="E10" s="186">
        <v>0.0</v>
      </c>
      <c r="F10" s="184"/>
      <c r="G10" s="187"/>
    </row>
    <row r="11" ht="14.25" customHeight="1">
      <c r="A11" s="183"/>
      <c r="B11" s="184"/>
      <c r="C11" s="186"/>
      <c r="D11" s="184"/>
      <c r="E11" s="186">
        <v>0.0</v>
      </c>
      <c r="F11" s="184"/>
      <c r="G11" s="187"/>
    </row>
    <row r="12" ht="14.25" customHeight="1">
      <c r="A12" s="188" t="s">
        <v>62</v>
      </c>
      <c r="B12" s="189"/>
      <c r="C12" s="190"/>
      <c r="D12" s="189"/>
      <c r="E12" s="190">
        <v>0.0</v>
      </c>
      <c r="F12" s="189"/>
      <c r="G12" s="191"/>
    </row>
    <row r="13" ht="14.25" customHeight="1">
      <c r="A13" s="193" t="s">
        <v>64</v>
      </c>
      <c r="B13" s="194"/>
      <c r="C13" s="194"/>
      <c r="D13" s="194"/>
      <c r="E13" s="196">
        <f>SUM(E4:E12)</f>
        <v>0</v>
      </c>
      <c r="F13" s="194" t="s">
        <v>74</v>
      </c>
      <c r="G13" s="197"/>
    </row>
    <row r="14" ht="14.25" customHeight="1">
      <c r="A14" s="198" t="s">
        <v>67</v>
      </c>
      <c r="B14" s="199"/>
      <c r="C14" s="199"/>
      <c r="D14" s="199"/>
      <c r="E14" s="200">
        <f>E13*15%</f>
        <v>0</v>
      </c>
      <c r="F14" s="199" t="s">
        <v>76</v>
      </c>
      <c r="G14" s="201"/>
    </row>
    <row r="15" ht="14.25" customHeight="1">
      <c r="A15" s="198" t="s">
        <v>70</v>
      </c>
      <c r="B15" s="199"/>
      <c r="C15" s="199"/>
      <c r="D15" s="199"/>
      <c r="E15" s="200">
        <f>E13+E14</f>
        <v>0</v>
      </c>
      <c r="F15" s="199"/>
      <c r="G15" s="201"/>
    </row>
    <row r="16" ht="14.25" customHeight="1">
      <c r="A16" s="198" t="s">
        <v>71</v>
      </c>
      <c r="B16" s="199"/>
      <c r="C16" s="199"/>
      <c r="D16" s="199"/>
      <c r="E16" s="200">
        <f>IF(E18&gt;0,E18-E15,0)</f>
        <v>0</v>
      </c>
      <c r="F16" s="199"/>
      <c r="G16" s="201"/>
    </row>
    <row r="17" ht="14.25" customHeight="1">
      <c r="A17" s="198" t="s">
        <v>388</v>
      </c>
      <c r="B17" s="199"/>
      <c r="C17" s="199"/>
      <c r="D17" s="199"/>
      <c r="E17" s="204">
        <f>IFERROR(E15/E18,0)</f>
        <v>0</v>
      </c>
      <c r="F17" s="199"/>
      <c r="G17" s="201"/>
    </row>
    <row r="18" ht="14.25" customHeight="1">
      <c r="A18" s="205" t="s">
        <v>11</v>
      </c>
      <c r="B18" s="206"/>
      <c r="C18" s="206"/>
      <c r="D18" s="206"/>
      <c r="E18" s="207"/>
      <c r="F18" s="206"/>
      <c r="G18" s="20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